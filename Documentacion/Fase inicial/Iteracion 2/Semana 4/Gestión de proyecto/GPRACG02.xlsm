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600" yWindow="120" windowWidth="14115" windowHeight="8670" firstSheet="7" activeTab="11"/>
  </bookViews>
  <sheets>
    <sheet name="1 _ Alejandro Garcia" sheetId="1" r:id="rId1"/>
    <sheet name="2 _ Diego Ricca" sheetId="2" r:id="rId2"/>
    <sheet name="3 _ Federico Andrade" sheetId="3" r:id="rId3"/>
    <sheet name="4 _ Federico Trinidad" sheetId="4" r:id="rId4"/>
    <sheet name="5 _ Ignacio Infante" sheetId="5" r:id="rId5"/>
    <sheet name="6 _ Javier Madeiro" sheetId="6" r:id="rId6"/>
    <sheet name="7 _ José Cordero" sheetId="7" r:id="rId7"/>
    <sheet name="8 _ Juan Ghiringhelli" sheetId="8" r:id="rId8"/>
    <sheet name="9 _ Leticia Vilariño" sheetId="9" r:id="rId9"/>
    <sheet name="10 _ Marcos Sander" sheetId="10" r:id="rId10"/>
    <sheet name="11 _ Martín Taruselli" sheetId="11" r:id="rId11"/>
    <sheet name="12 _ Vicente Acosta" sheetId="12" r:id="rId12"/>
    <sheet name="Consolidado" sheetId="13" r:id="rId13"/>
    <sheet name="Gráfica esfuerzo persona" sheetId="14" r:id="rId14"/>
    <sheet name="Gráfica esfuerzo por rol" sheetId="16" r:id="rId15"/>
    <sheet name="Gráfica esfuerzo por área" sheetId="17" r:id="rId16"/>
  </sheets>
  <externalReferences>
    <externalReference r:id="rId17"/>
  </externalReferences>
  <calcPr calcId="125725"/>
</workbook>
</file>

<file path=xl/calcChain.xml><?xml version="1.0" encoding="utf-8"?>
<calcChain xmlns="http://schemas.openxmlformats.org/spreadsheetml/2006/main">
  <c r="B34" i="13"/>
  <c r="B16"/>
  <c r="B7"/>
  <c r="B8"/>
  <c r="B9"/>
  <c r="B10"/>
  <c r="B11"/>
  <c r="B12"/>
  <c r="B13"/>
  <c r="B14"/>
  <c r="B15"/>
  <c r="B44"/>
  <c r="B45"/>
  <c r="B43"/>
  <c r="B42"/>
  <c r="B41"/>
  <c r="B40"/>
  <c r="B39"/>
  <c r="B38"/>
  <c r="B37"/>
  <c r="B36"/>
  <c r="B35"/>
  <c r="B19"/>
  <c r="B21"/>
  <c r="B22"/>
  <c r="B23"/>
  <c r="B24"/>
  <c r="B25"/>
  <c r="B26"/>
  <c r="B27"/>
  <c r="B28"/>
  <c r="B29"/>
  <c r="B30"/>
  <c r="D29" i="1"/>
  <c r="D29" i="12"/>
  <c r="D31" i="11"/>
  <c r="D29" i="10"/>
  <c r="D30" i="9"/>
  <c r="D29" i="8"/>
  <c r="D29" i="7"/>
  <c r="D29" i="6"/>
  <c r="D29" i="2"/>
  <c r="D30" i="3"/>
  <c r="D29" i="4"/>
  <c r="D29" i="5"/>
</calcChain>
</file>

<file path=xl/sharedStrings.xml><?xml version="1.0" encoding="utf-8"?>
<sst xmlns="http://schemas.openxmlformats.org/spreadsheetml/2006/main" count="726" uniqueCount="244">
  <si>
    <t>Javier Madeiro</t>
  </si>
  <si>
    <t>Ignacio Infante</t>
  </si>
  <si>
    <t>Total Responsable de SCM</t>
  </si>
  <si>
    <t>Total Línea Gestión de Proyecto</t>
  </si>
  <si>
    <t>2</t>
  </si>
  <si>
    <t>Observaciones</t>
  </si>
  <si>
    <t>Total Línea Gestión de Calidad</t>
  </si>
  <si>
    <t>Total Implementador</t>
  </si>
  <si>
    <t>Total Responsable de SQA</t>
  </si>
  <si>
    <t>Total Línea Análisis/Req.</t>
  </si>
  <si>
    <t>Código Actividad</t>
  </si>
  <si>
    <t>Juan Ghiringhelli</t>
  </si>
  <si>
    <t>Marcos Sander</t>
  </si>
  <si>
    <t>Grupo:</t>
  </si>
  <si>
    <t>Descripción Actividad</t>
  </si>
  <si>
    <t>Alejandro Garcia</t>
  </si>
  <si>
    <t>Total Línea Gestión de Configuración y Control de Cambios</t>
  </si>
  <si>
    <t>Total Responsable de Verificación</t>
  </si>
  <si>
    <t>Proyecto IS 2010 - Registro de horas trabajadas</t>
  </si>
  <si>
    <t>Horas</t>
  </si>
  <si>
    <t>Federico Andrade</t>
  </si>
  <si>
    <t>Grupo: 2</t>
  </si>
  <si>
    <t>Total Administrador</t>
  </si>
  <si>
    <t>Diego Ricca</t>
  </si>
  <si>
    <t>Leticia Vilariño</t>
  </si>
  <si>
    <t>Total Línea Implementación</t>
  </si>
  <si>
    <t>Total Responsable de la Comunicación</t>
  </si>
  <si>
    <t>Total Arquitecto</t>
  </si>
  <si>
    <t>Total Línea Comunicación</t>
  </si>
  <si>
    <t>José Cordero</t>
  </si>
  <si>
    <t>Nombre:</t>
  </si>
  <si>
    <t>Martín Taruselli</t>
  </si>
  <si>
    <t>Total Línea Transición al entorno del usuario</t>
  </si>
  <si>
    <t>Total</t>
  </si>
  <si>
    <t>Martín Taruselli Borio</t>
  </si>
  <si>
    <t>Federico Trinidad</t>
  </si>
  <si>
    <t>Total Documentador de usuario</t>
  </si>
  <si>
    <t>Vicente Acosta</t>
  </si>
  <si>
    <t>Federico Trindad</t>
  </si>
  <si>
    <t>Total Análistas</t>
  </si>
  <si>
    <t>Total Asistente de Verificación</t>
  </si>
  <si>
    <t>Fecha</t>
  </si>
  <si>
    <t>Total Espec. Técnicos</t>
  </si>
  <si>
    <t>Consolidado del equipo</t>
  </si>
  <si>
    <t>Total Línea Verificación</t>
  </si>
  <si>
    <t>Total Línea Diseño</t>
  </si>
  <si>
    <t>Total Coordinador de Desarrollo</t>
  </si>
  <si>
    <t>Total Instructor</t>
  </si>
  <si>
    <t>Nombre: Interpool</t>
  </si>
  <si>
    <t>E2</t>
  </si>
  <si>
    <t>Api Facebook</t>
  </si>
  <si>
    <t>Json a Diccionario</t>
  </si>
  <si>
    <t>R6</t>
  </si>
  <si>
    <t>Reunión Quincenal</t>
  </si>
  <si>
    <t>Implementación prototipo</t>
  </si>
  <si>
    <t>29/08/2010</t>
  </si>
  <si>
    <t>4/9/2010</t>
  </si>
  <si>
    <t>R. de verificación?</t>
  </si>
  <si>
    <t>A. de SQA?</t>
  </si>
  <si>
    <t>Analista?</t>
  </si>
  <si>
    <t>Implementador?</t>
  </si>
  <si>
    <t>E. Técnico?</t>
  </si>
  <si>
    <t>R. SQA?</t>
  </si>
  <si>
    <t>A. Verificación?</t>
  </si>
  <si>
    <t>Diseñador IU?</t>
  </si>
  <si>
    <t>Administrador?</t>
  </si>
  <si>
    <t>R. Comunicación?</t>
  </si>
  <si>
    <t>Dis. de IU?</t>
  </si>
  <si>
    <t>Arquitecto?</t>
  </si>
  <si>
    <t>A. de Verificación?</t>
  </si>
  <si>
    <t>Coor.de Desarrollo?</t>
  </si>
  <si>
    <t>R. de SCM?</t>
  </si>
  <si>
    <t xml:space="preserve">E. Técnico? </t>
  </si>
  <si>
    <t>Si</t>
  </si>
  <si>
    <t>G2</t>
  </si>
  <si>
    <t>CM2</t>
  </si>
  <si>
    <t>CM3</t>
  </si>
  <si>
    <t>Flags p/ formulas</t>
  </si>
  <si>
    <t>V5</t>
  </si>
  <si>
    <t>Revision Entregas</t>
  </si>
  <si>
    <t>V3</t>
  </si>
  <si>
    <t>Planificar las pruebas de la iteración</t>
  </si>
  <si>
    <t>Creacion del Documento VRPVI</t>
  </si>
  <si>
    <t>E1</t>
  </si>
  <si>
    <t>Clase de apoyo SQA</t>
  </si>
  <si>
    <t>G14</t>
  </si>
  <si>
    <t>Reunión Evaluativa con el Director del Proyecto</t>
  </si>
  <si>
    <t>G6</t>
  </si>
  <si>
    <t>Reunion con el Equipo</t>
  </si>
  <si>
    <t>Reunion con los Responsables</t>
  </si>
  <si>
    <t>Realización del Documento VRPVI</t>
  </si>
  <si>
    <t>V2</t>
  </si>
  <si>
    <t>Ajuste Plan de Validación y Verificación</t>
  </si>
  <si>
    <t>Revision de documento VRPVV</t>
  </si>
  <si>
    <t>R5</t>
  </si>
  <si>
    <t>Reunion con el cliente</t>
  </si>
  <si>
    <t>Reunión de equipo</t>
  </si>
  <si>
    <t>V4</t>
  </si>
  <si>
    <t>Especificar los Casos de Prueba</t>
  </si>
  <si>
    <t>Creacion del Documento VRMCP</t>
  </si>
  <si>
    <t>Realización del Documento VRMCP</t>
  </si>
  <si>
    <t>Reunion Quincenal</t>
  </si>
  <si>
    <t>Revisión de Documento DSARQ, DSMDI, DSOOMDA, GPISP, GPLA, GPPIT, GPPLA, IMPII, SCMPLA</t>
  </si>
  <si>
    <t>29/08/10</t>
  </si>
  <si>
    <t>Autoestudio</t>
  </si>
  <si>
    <t>Estudiando azure</t>
  </si>
  <si>
    <t>30/08/10</t>
  </si>
  <si>
    <t>Reunión que no se hizo por descordinación del cliente</t>
  </si>
  <si>
    <t>31/08/10</t>
  </si>
  <si>
    <t>R2</t>
  </si>
  <si>
    <t>Especificar requerimientos</t>
  </si>
  <si>
    <t>1/9/2010</t>
  </si>
  <si>
    <t>Definicion del documento de Vision</t>
  </si>
  <si>
    <t>Documento de Visión</t>
  </si>
  <si>
    <t>R3</t>
  </si>
  <si>
    <t>Especificar Casos de Usos</t>
  </si>
  <si>
    <t>Documento de Modelo de Caso de Usos</t>
  </si>
  <si>
    <t>2/9/2010</t>
  </si>
  <si>
    <t>2/8/2010</t>
  </si>
  <si>
    <t>3/9/2010</t>
  </si>
  <si>
    <t>Auto Estudio</t>
  </si>
  <si>
    <t>Estudio de Workflow service, para mapear los estados del juego con un workflow</t>
  </si>
  <si>
    <t>Elaboración del documento "Registro de Rastreo"</t>
  </si>
  <si>
    <t>Documento Registro de rastro</t>
  </si>
  <si>
    <t>Reunión de apoyo</t>
  </si>
  <si>
    <t>Defenicion de las clases de diseño y de las clases del modelo de datos</t>
  </si>
  <si>
    <t>I1</t>
  </si>
  <si>
    <t>Investigación de la Api de Facebook</t>
  </si>
  <si>
    <t>Reunion quincenal</t>
  </si>
  <si>
    <t>Implementación e integración de apis de Facebook y Bing</t>
  </si>
  <si>
    <t>Estudio de web services</t>
  </si>
  <si>
    <t>Estudio e implementacion de web services</t>
  </si>
  <si>
    <t>Estudio de WCF</t>
  </si>
  <si>
    <t>Implementacion de WCF para Azure</t>
  </si>
  <si>
    <t>I4</t>
  </si>
  <si>
    <t>Elaboracion del documento Plan de Integración de la Iteración</t>
  </si>
  <si>
    <t>Integracion</t>
  </si>
  <si>
    <t>Q5</t>
  </si>
  <si>
    <t>Revisión entregas semana 3</t>
  </si>
  <si>
    <t xml:space="preserve">Revisión de entregas,   entrega semanal de SQA </t>
  </si>
  <si>
    <t>Q2</t>
  </si>
  <si>
    <t>Planificación SQA para la semana</t>
  </si>
  <si>
    <t>Planificación de la semana, coordinación entrega de documentos a SQA</t>
  </si>
  <si>
    <t>Clase de Apoyo</t>
  </si>
  <si>
    <t>Clase de apoyo rol SQA</t>
  </si>
  <si>
    <t>Reunión con el director / Reunión de equipo</t>
  </si>
  <si>
    <t>Reunión con el director, luego nos reunimos con algunos de los integrantes del equipo</t>
  </si>
  <si>
    <t>Reunión de validación con el cliente</t>
  </si>
  <si>
    <t>Seguimiento Documento de Especificación de Requisitos</t>
  </si>
  <si>
    <t>Se realizo un seguimiento de los errores resportados en el informe de revisión para el documento. En esta ocación se detecto que en la nueva versión no ha tenido en cuenta varias de las sugerencias realizadas, también se le sugirieron nuevos ajustes.</t>
  </si>
  <si>
    <t>Revisión documento de Pautas de Interfaz de usuario</t>
  </si>
  <si>
    <t>Revisión del documento de pautas de interfaz de usuario, actualización del informe de revisión.</t>
  </si>
  <si>
    <t>Revisión entregas semana 4</t>
  </si>
  <si>
    <t>Estudio de herramientas para diseño UI. Terminar el diseño del primer entregable que se mostrará al cliente. Comienzo de diseño del prototipo a entregar en la semana.</t>
  </si>
  <si>
    <t>Diseñando prototipo.</t>
  </si>
  <si>
    <t>Reunión Coordinación</t>
  </si>
  <si>
    <t xml:space="preserve">Reunión con José, Ignacio y Martín para definir detalles del prototipo. Cabezales de las operaciones que proveerá el servicio. </t>
  </si>
  <si>
    <t>Prototipo</t>
  </si>
  <si>
    <t xml:space="preserve">Quedaron implementadas las funcionalidades del prototipo, así como también las pantallas simples. </t>
  </si>
  <si>
    <t>Busqueda de dibujos para el diseño. Retoques de imagenes.</t>
  </si>
  <si>
    <t>Reunión con José, coordinamos tareas. Definimos screenshots a realizar, cómo serán las pantallas. Se retocó el diseño inicial del prototipo. Se definió el plan a seguir de diseño.</t>
  </si>
  <si>
    <t>Creación base de screenshot, para una posible recreación si así lo desea el cliente.</t>
  </si>
  <si>
    <t>Cambios y agregado de pantallas sobre el Informe de Pautas de Diseño Interfaz de Usuario</t>
  </si>
  <si>
    <t>Reunión quincenal con el grupo para definir detalles del prototipo y demás.</t>
  </si>
  <si>
    <t>Investigando animaciones en expression blend 4 como así inserción multimedia a la aplicación.</t>
  </si>
  <si>
    <t>G5</t>
  </si>
  <si>
    <t>Registrar esfuerzo</t>
  </si>
  <si>
    <t>Elaboración documento registro horas, cambio a MS office</t>
  </si>
  <si>
    <t>G10</t>
  </si>
  <si>
    <t>Evaluar y ajustar el plan de proyecto</t>
  </si>
  <si>
    <t>Armar Doc de seguimiento</t>
  </si>
  <si>
    <t>G18</t>
  </si>
  <si>
    <t>Presentación al director del proyecto</t>
  </si>
  <si>
    <t>Elaboración documentos</t>
  </si>
  <si>
    <t>Seguimiento del proyecto</t>
  </si>
  <si>
    <t>Comunicación con el equipo, levantar docs para planificación</t>
  </si>
  <si>
    <t>Validación con el cliente</t>
  </si>
  <si>
    <t>No apareció el cliente. Una hora perdida</t>
  </si>
  <si>
    <t>Reunión con Javier y antes para ordenar desarrollo prototipo.</t>
  </si>
  <si>
    <t>G9</t>
  </si>
  <si>
    <t>Ajustar y controlar el desarrollo</t>
  </si>
  <si>
    <t xml:space="preserve">Comunicación con los involucrados.  </t>
  </si>
  <si>
    <t>Validación con el cliente.</t>
  </si>
  <si>
    <t>Reuníon con Marcelo. Definidos métrica atributos calidad, funcionalidad del prototipo, interfaz gráfica y reuniones futuras.</t>
  </si>
  <si>
    <t>Documentos estimación, cambio de fase, riesgos, etc.</t>
  </si>
  <si>
    <t>Reunión quincenal</t>
  </si>
  <si>
    <t>Preparación,coordinación con encargados, estimación esfuerzo proyecto</t>
  </si>
  <si>
    <t>G7</t>
  </si>
  <si>
    <t xml:space="preserve">Elaborar acta de reunión de equipo </t>
  </si>
  <si>
    <t xml:space="preserve">Documentos </t>
  </si>
  <si>
    <t>G15</t>
  </si>
  <si>
    <t xml:space="preserve">Revisión técnica y administrativa </t>
  </si>
  <si>
    <t>Documentación lecciones aprendidas, riesgos, plan iteración, semanal, fase, prototipo, etc</t>
  </si>
  <si>
    <t>6.00</t>
  </si>
  <si>
    <t>Se coordinó formalmente los objetivos y tareas a realizar para c/u para determinar el prototipo y aclararon dudas.</t>
  </si>
  <si>
    <t>Reunión Director</t>
  </si>
  <si>
    <t xml:space="preserve">Se comentó los pasos a seguir con el director en lo que respecta a la UI. </t>
  </si>
  <si>
    <t>I2</t>
  </si>
  <si>
    <t>Insertar nuevo dibujo y agregar botones, emprolijar el diseño en el proyecto inicial que se mostraría al cliente.</t>
  </si>
  <si>
    <t>Invocar funciones de la nube, se ateró el código, cambiaron cosas porque no se invocaban de la manera convencional y debí investigar en la web al respecto y preguntar al especialista técnico.</t>
  </si>
  <si>
    <t xml:space="preserve">Cambiando código, debugeando problemas, integrando las invocaciones a la nube que se tornaron una pesadilla!!!. </t>
  </si>
  <si>
    <t>Cambios pedidos luego de validación con SQA sobre el documento de Pautas de Interfaz de Usuario.</t>
  </si>
  <si>
    <t>Clase de apoyo para arquitectos</t>
  </si>
  <si>
    <t>1.00</t>
  </si>
  <si>
    <t>Se resolvieron dudas respecto al rol y se compartió lo que estaba haciendo cada uno.</t>
  </si>
  <si>
    <t>Reunión con director de proyecto</t>
  </si>
  <si>
    <t>Monitoreo semanal.</t>
  </si>
  <si>
    <t>Reunión con implementadores, especialistas técnicos</t>
  </si>
  <si>
    <t>Coordinación del desarrollo del prototipo que vamos a entregar esta semana.</t>
  </si>
  <si>
    <t>D2</t>
  </si>
  <si>
    <t>Descripción de la Arquitectura</t>
  </si>
  <si>
    <t>Elaboración del documento.</t>
  </si>
  <si>
    <t>Reunión con cliente</t>
  </si>
  <si>
    <t>Reunión semanal con el cliente</t>
  </si>
  <si>
    <t>Elaboración de documento</t>
  </si>
  <si>
    <t>Reunión con implementadores para la estimación de tiempo de desarrollo</t>
  </si>
  <si>
    <t>Reunión de grupo quincenal</t>
  </si>
  <si>
    <t>Pasaje de conocimiento, coordinación para trabajo en grupo</t>
  </si>
  <si>
    <t>D1</t>
  </si>
  <si>
    <t>Modelo de diseño</t>
  </si>
  <si>
    <t>Elaboración de diagramas</t>
  </si>
  <si>
    <t>Definición de clases del sistema, diagramas de colaboración, elaboración del documento</t>
  </si>
  <si>
    <t>D4</t>
  </si>
  <si>
    <t>Modelo de datos</t>
  </si>
  <si>
    <t>Elaboración del documento</t>
  </si>
  <si>
    <t>R7</t>
  </si>
  <si>
    <t>Documento de alcance</t>
  </si>
  <si>
    <t>Windos Azure y Sql Azure. Se estudio como manejar bases relacionales en la nube. Se creo una aplicación de ejemplo</t>
  </si>
  <si>
    <t>Estudio de WCF Services y se define las interfaces que usar la aplicación WP7</t>
  </si>
  <si>
    <t>Especificar Requerimientos</t>
  </si>
  <si>
    <t>Documento de Especificación de Requerimientos</t>
  </si>
  <si>
    <t>CMD</t>
  </si>
  <si>
    <t>Diseñar base de datos</t>
  </si>
  <si>
    <t>Documento de Modelo de Datos</t>
  </si>
  <si>
    <t>Auto estudio</t>
  </si>
  <si>
    <t>C4</t>
  </si>
  <si>
    <t>Definir el ambiente controlado</t>
  </si>
  <si>
    <t>Empezar el documento</t>
  </si>
  <si>
    <t>Terminar el documento</t>
  </si>
  <si>
    <t>Implementación Facebook</t>
  </si>
  <si>
    <t>Total Línea Formación y entrenamiento</t>
  </si>
  <si>
    <t>30/08/2010</t>
  </si>
  <si>
    <t>31/08/2010</t>
  </si>
  <si>
    <t>5/9/2010</t>
  </si>
</sst>
</file>

<file path=xl/styles.xml><?xml version="1.0" encoding="utf-8"?>
<styleSheet xmlns="http://schemas.openxmlformats.org/spreadsheetml/2006/main">
  <numFmts count="2">
    <numFmt numFmtId="164" formatCode="0.##"/>
    <numFmt numFmtId="165" formatCode="0.00;[Red]0.00"/>
  </numFmts>
  <fonts count="7">
    <font>
      <sz val="10"/>
      <name val="Arial"/>
      <family val="2"/>
    </font>
    <font>
      <b/>
      <sz val="10"/>
      <color indexed="8"/>
      <name val="Verdana"/>
      <family val="2"/>
    </font>
    <font>
      <sz val="10"/>
      <color indexed="8"/>
      <name val="Arial"/>
      <family val="2"/>
    </font>
    <font>
      <sz val="10"/>
      <color indexed="8"/>
      <name val="Verdana"/>
      <family val="2"/>
    </font>
    <font>
      <b/>
      <sz val="10"/>
      <color indexed="39"/>
      <name val="Arial"/>
      <family val="2"/>
    </font>
    <font>
      <b/>
      <sz val="10"/>
      <color indexed="8"/>
      <name val="Arial"/>
      <family val="2"/>
    </font>
    <font>
      <b/>
      <sz val="10"/>
      <name val="Arial"/>
      <family val="2"/>
    </font>
  </fonts>
  <fills count="2">
    <fill>
      <patternFill patternType="none"/>
    </fill>
    <fill>
      <patternFill patternType="gray125"/>
    </fill>
  </fills>
  <borders count="9">
    <border>
      <left/>
      <right/>
      <top/>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alignment vertical="center"/>
    </xf>
  </cellStyleXfs>
  <cellXfs count="36">
    <xf numFmtId="0" fontId="0" fillId="0" borderId="0" xfId="0">
      <alignment vertical="center"/>
    </xf>
    <xf numFmtId="164" fontId="1" fillId="0" borderId="0" xfId="0" applyNumberFormat="1" applyFont="1" applyFill="1" applyAlignment="1">
      <alignment horizontal="left" wrapText="1"/>
    </xf>
    <xf numFmtId="164" fontId="2" fillId="0" borderId="0" xfId="0" applyNumberFormat="1" applyFont="1" applyFill="1" applyAlignment="1">
      <alignment horizontal="left" wrapText="1"/>
    </xf>
    <xf numFmtId="164" fontId="3" fillId="0" borderId="0" xfId="0" applyNumberFormat="1" applyFont="1" applyFill="1" applyAlignment="1">
      <alignment horizontal="left" wrapText="1"/>
    </xf>
    <xf numFmtId="164" fontId="1" fillId="0" borderId="1" xfId="0" applyNumberFormat="1" applyFont="1" applyFill="1" applyBorder="1" applyAlignment="1">
      <alignment horizontal="left" wrapText="1"/>
    </xf>
    <xf numFmtId="164" fontId="3" fillId="0" borderId="1" xfId="0" applyNumberFormat="1" applyFont="1" applyFill="1" applyBorder="1" applyAlignment="1">
      <alignment horizontal="left" wrapText="1"/>
    </xf>
    <xf numFmtId="164" fontId="2" fillId="0" borderId="2" xfId="0" applyNumberFormat="1" applyFont="1" applyFill="1" applyBorder="1" applyAlignment="1">
      <alignment wrapText="1"/>
    </xf>
    <xf numFmtId="164" fontId="2" fillId="0" borderId="0" xfId="0" applyNumberFormat="1" applyFont="1" applyFill="1" applyAlignment="1">
      <alignment wrapText="1"/>
    </xf>
    <xf numFmtId="164" fontId="3" fillId="0" borderId="0" xfId="0" applyNumberFormat="1" applyFont="1" applyFill="1" applyAlignment="1">
      <alignment horizontal="right" wrapText="1"/>
    </xf>
    <xf numFmtId="164" fontId="2" fillId="0" borderId="0" xfId="0" applyNumberFormat="1" applyFont="1" applyFill="1" applyAlignment="1">
      <alignment vertical="center" wrapText="1"/>
    </xf>
    <xf numFmtId="164" fontId="2" fillId="0" borderId="1" xfId="0" applyNumberFormat="1" applyFont="1" applyFill="1" applyBorder="1" applyAlignment="1">
      <alignment wrapText="1"/>
    </xf>
    <xf numFmtId="164" fontId="4" fillId="0" borderId="3" xfId="0" applyNumberFormat="1" applyFont="1" applyFill="1" applyBorder="1" applyAlignment="1">
      <alignment horizontal="left" wrapText="1"/>
    </xf>
    <xf numFmtId="0" fontId="0" fillId="0" borderId="5" xfId="0" applyNumberFormat="1" applyFont="1" applyFill="1" applyBorder="1" applyAlignment="1">
      <alignment wrapText="1"/>
    </xf>
    <xf numFmtId="164" fontId="4" fillId="0" borderId="5" xfId="0" applyNumberFormat="1" applyFont="1" applyFill="1" applyBorder="1" applyAlignment="1">
      <alignment horizontal="left" wrapText="1"/>
    </xf>
    <xf numFmtId="164" fontId="4" fillId="0" borderId="7" xfId="0" applyNumberFormat="1" applyFont="1" applyFill="1" applyBorder="1" applyAlignment="1">
      <alignment horizontal="left" wrapText="1"/>
    </xf>
    <xf numFmtId="164" fontId="5" fillId="0" borderId="8" xfId="0" applyNumberFormat="1" applyFont="1" applyFill="1" applyBorder="1" applyAlignment="1">
      <alignment horizontal="left" wrapText="1"/>
    </xf>
    <xf numFmtId="164" fontId="4" fillId="0" borderId="0" xfId="0" applyNumberFormat="1" applyFont="1" applyFill="1" applyAlignment="1">
      <alignment horizontal="left" wrapText="1"/>
    </xf>
    <xf numFmtId="165" fontId="0" fillId="0" borderId="0" xfId="0" applyNumberFormat="1">
      <alignment vertical="center"/>
    </xf>
    <xf numFmtId="165" fontId="1" fillId="0" borderId="1" xfId="0" applyNumberFormat="1" applyFont="1" applyFill="1" applyBorder="1" applyAlignment="1">
      <alignment horizontal="left" wrapText="1"/>
    </xf>
    <xf numFmtId="165" fontId="2" fillId="0" borderId="0" xfId="0" applyNumberFormat="1" applyFont="1" applyFill="1" applyAlignment="1">
      <alignment wrapText="1"/>
    </xf>
    <xf numFmtId="165" fontId="3" fillId="0" borderId="0" xfId="0" applyNumberFormat="1" applyFont="1" applyFill="1" applyAlignment="1">
      <alignment horizontal="right" wrapText="1"/>
    </xf>
    <xf numFmtId="165" fontId="2" fillId="0" borderId="0" xfId="0" applyNumberFormat="1" applyFont="1" applyFill="1" applyAlignment="1">
      <alignment horizontal="right" wrapText="1"/>
    </xf>
    <xf numFmtId="2" fontId="0" fillId="0" borderId="0" xfId="0" applyNumberFormat="1">
      <alignment vertical="center"/>
    </xf>
    <xf numFmtId="2" fontId="1" fillId="0" borderId="1" xfId="0" applyNumberFormat="1" applyFont="1" applyFill="1" applyBorder="1" applyAlignment="1">
      <alignment horizontal="left" wrapText="1"/>
    </xf>
    <xf numFmtId="2" fontId="2" fillId="0" borderId="0" xfId="0" applyNumberFormat="1" applyFont="1" applyFill="1" applyAlignment="1">
      <alignment wrapText="1"/>
    </xf>
    <xf numFmtId="165" fontId="5" fillId="0" borderId="4" xfId="0" applyNumberFormat="1" applyFont="1" applyFill="1" applyBorder="1" applyAlignment="1">
      <alignment horizontal="left" wrapText="1"/>
    </xf>
    <xf numFmtId="165" fontId="5" fillId="0" borderId="6" xfId="0" applyNumberFormat="1" applyFont="1" applyFill="1" applyBorder="1" applyAlignment="1">
      <alignment horizontal="left" wrapText="1"/>
    </xf>
    <xf numFmtId="165" fontId="5" fillId="0" borderId="8" xfId="0" applyNumberFormat="1" applyFont="1" applyFill="1" applyBorder="1" applyAlignment="1">
      <alignment horizontal="left" wrapText="1"/>
    </xf>
    <xf numFmtId="49" fontId="2" fillId="0" borderId="2" xfId="0" applyNumberFormat="1" applyFont="1" applyFill="1" applyBorder="1" applyAlignment="1">
      <alignment wrapText="1"/>
    </xf>
    <xf numFmtId="49" fontId="2" fillId="0" borderId="0" xfId="0" applyNumberFormat="1" applyFont="1" applyFill="1" applyAlignment="1">
      <alignment wrapText="1"/>
    </xf>
    <xf numFmtId="49" fontId="0" fillId="0" borderId="0" xfId="0" applyNumberFormat="1">
      <alignment vertical="center"/>
    </xf>
    <xf numFmtId="164" fontId="1" fillId="0" borderId="0" xfId="0" applyNumberFormat="1" applyFont="1" applyFill="1" applyBorder="1" applyAlignment="1">
      <alignment horizontal="left" wrapText="1"/>
    </xf>
    <xf numFmtId="0" fontId="0" fillId="0" borderId="2" xfId="0" applyBorder="1">
      <alignment vertical="center"/>
    </xf>
    <xf numFmtId="0" fontId="0" fillId="0" borderId="0" xfId="0" applyNumberFormat="1" applyFont="1" applyFill="1" applyBorder="1" applyAlignment="1">
      <alignment wrapText="1"/>
    </xf>
    <xf numFmtId="0" fontId="0" fillId="0" borderId="0" xfId="0" applyNumberFormat="1" applyFill="1" applyBorder="1" applyAlignment="1">
      <alignment wrapText="1"/>
    </xf>
    <xf numFmtId="165" fontId="6" fillId="0" borderId="4" xfId="0" applyNumberFormat="1" applyFont="1" applyBorder="1" applyAlignment="1">
      <alignment horizontal="left" vertical="center"/>
    </xf>
  </cellXfs>
  <cellStyles count="1">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0000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s-UY"/>
  <c:chart>
    <c:plotArea>
      <c:layout/>
      <c:barChart>
        <c:barDir val="col"/>
        <c:grouping val="clustered"/>
        <c:ser>
          <c:idx val="0"/>
          <c:order val="0"/>
          <c:tx>
            <c:strRef>
              <c:f>[1]Hoja1!$B$28</c:f>
              <c:strCache>
                <c:ptCount val="1"/>
                <c:pt idx="0">
                  <c:v>Esfuerzo estimado</c:v>
                </c:pt>
              </c:strCache>
            </c:strRef>
          </c:tx>
          <c:cat>
            <c:strRef>
              <c:f>[1]Hoja1!$A$29:$A$41</c:f>
              <c:strCache>
                <c:ptCount val="13"/>
                <c:pt idx="1">
                  <c:v>Alejandro Garcia</c:v>
                </c:pt>
                <c:pt idx="2">
                  <c:v>Diego Ricca</c:v>
                </c:pt>
                <c:pt idx="3">
                  <c:v>Federico Andrade</c:v>
                </c:pt>
                <c:pt idx="4">
                  <c:v>Federico Trinidad</c:v>
                </c:pt>
                <c:pt idx="5">
                  <c:v>Ignacio Infante</c:v>
                </c:pt>
                <c:pt idx="6">
                  <c:v>Javier Madeiro</c:v>
                </c:pt>
                <c:pt idx="7">
                  <c:v>José Cordero</c:v>
                </c:pt>
                <c:pt idx="8">
                  <c:v>Juan Ghiringhelli</c:v>
                </c:pt>
                <c:pt idx="9">
                  <c:v>Leticia Vilariño</c:v>
                </c:pt>
                <c:pt idx="10">
                  <c:v>Marcos Sander</c:v>
                </c:pt>
                <c:pt idx="11">
                  <c:v>Martín Taruselli</c:v>
                </c:pt>
                <c:pt idx="12">
                  <c:v>Vicente Acosta</c:v>
                </c:pt>
              </c:strCache>
            </c:strRef>
          </c:cat>
          <c:val>
            <c:numRef>
              <c:f>[1]Hoja1!$B$29:$B$41</c:f>
              <c:numCache>
                <c:formatCode>General</c:formatCode>
                <c:ptCount val="13"/>
                <c:pt idx="1">
                  <c:v>15</c:v>
                </c:pt>
                <c:pt idx="2">
                  <c:v>15</c:v>
                </c:pt>
                <c:pt idx="3">
                  <c:v>15</c:v>
                </c:pt>
                <c:pt idx="4">
                  <c:v>15</c:v>
                </c:pt>
                <c:pt idx="5">
                  <c:v>15</c:v>
                </c:pt>
                <c:pt idx="6">
                  <c:v>15</c:v>
                </c:pt>
                <c:pt idx="7">
                  <c:v>15</c:v>
                </c:pt>
                <c:pt idx="8">
                  <c:v>15</c:v>
                </c:pt>
                <c:pt idx="9">
                  <c:v>15</c:v>
                </c:pt>
                <c:pt idx="10">
                  <c:v>15</c:v>
                </c:pt>
                <c:pt idx="11">
                  <c:v>15</c:v>
                </c:pt>
                <c:pt idx="12">
                  <c:v>15</c:v>
                </c:pt>
              </c:numCache>
            </c:numRef>
          </c:val>
        </c:ser>
        <c:ser>
          <c:idx val="1"/>
          <c:order val="1"/>
          <c:tx>
            <c:strRef>
              <c:f>[1]Hoja1!$C$28</c:f>
              <c:strCache>
                <c:ptCount val="1"/>
                <c:pt idx="0">
                  <c:v>Esfuerzo realizado</c:v>
                </c:pt>
              </c:strCache>
            </c:strRef>
          </c:tx>
          <c:cat>
            <c:strRef>
              <c:f>[1]Hoja1!$A$29:$A$41</c:f>
              <c:strCache>
                <c:ptCount val="13"/>
                <c:pt idx="1">
                  <c:v>Alejandro Garcia</c:v>
                </c:pt>
                <c:pt idx="2">
                  <c:v>Diego Ricca</c:v>
                </c:pt>
                <c:pt idx="3">
                  <c:v>Federico Andrade</c:v>
                </c:pt>
                <c:pt idx="4">
                  <c:v>Federico Trinidad</c:v>
                </c:pt>
                <c:pt idx="5">
                  <c:v>Ignacio Infante</c:v>
                </c:pt>
                <c:pt idx="6">
                  <c:v>Javier Madeiro</c:v>
                </c:pt>
                <c:pt idx="7">
                  <c:v>José Cordero</c:v>
                </c:pt>
                <c:pt idx="8">
                  <c:v>Juan Ghiringhelli</c:v>
                </c:pt>
                <c:pt idx="9">
                  <c:v>Leticia Vilariño</c:v>
                </c:pt>
                <c:pt idx="10">
                  <c:v>Marcos Sander</c:v>
                </c:pt>
                <c:pt idx="11">
                  <c:v>Martín Taruselli</c:v>
                </c:pt>
                <c:pt idx="12">
                  <c:v>Vicente Acosta</c:v>
                </c:pt>
              </c:strCache>
            </c:strRef>
          </c:cat>
          <c:val>
            <c:numRef>
              <c:f>[1]Hoja1!$C$29:$C$41</c:f>
              <c:numCache>
                <c:formatCode>General</c:formatCode>
                <c:ptCount val="13"/>
                <c:pt idx="1">
                  <c:v>26</c:v>
                </c:pt>
                <c:pt idx="2">
                  <c:v>23.5</c:v>
                </c:pt>
                <c:pt idx="3">
                  <c:v>26</c:v>
                </c:pt>
                <c:pt idx="4">
                  <c:v>29</c:v>
                </c:pt>
                <c:pt idx="5">
                  <c:v>30</c:v>
                </c:pt>
                <c:pt idx="6">
                  <c:v>21.5</c:v>
                </c:pt>
                <c:pt idx="7">
                  <c:v>22</c:v>
                </c:pt>
                <c:pt idx="8">
                  <c:v>22</c:v>
                </c:pt>
                <c:pt idx="9">
                  <c:v>20.5</c:v>
                </c:pt>
                <c:pt idx="10">
                  <c:v>20</c:v>
                </c:pt>
                <c:pt idx="11">
                  <c:v>23</c:v>
                </c:pt>
                <c:pt idx="12">
                  <c:v>25.5</c:v>
                </c:pt>
              </c:numCache>
            </c:numRef>
          </c:val>
        </c:ser>
        <c:gapWidth val="100"/>
        <c:axId val="83724160"/>
        <c:axId val="83725696"/>
      </c:barChart>
      <c:catAx>
        <c:axId val="83724160"/>
        <c:scaling>
          <c:orientation val="minMax"/>
        </c:scaling>
        <c:axPos val="b"/>
        <c:tickLblPos val="nextTo"/>
        <c:crossAx val="83725696"/>
        <c:crosses val="autoZero"/>
        <c:auto val="1"/>
        <c:lblAlgn val="ctr"/>
        <c:lblOffset val="100"/>
      </c:catAx>
      <c:valAx>
        <c:axId val="83725696"/>
        <c:scaling>
          <c:orientation val="minMax"/>
        </c:scaling>
        <c:axPos val="l"/>
        <c:majorGridlines/>
        <c:numFmt formatCode="General" sourceLinked="1"/>
        <c:tickLblPos val="nextTo"/>
        <c:crossAx val="83724160"/>
        <c:crosses val="autoZero"/>
        <c:crossBetween val="between"/>
      </c:valAx>
    </c:plotArea>
    <c:legend>
      <c:legendPos val="r"/>
      <c:txPr>
        <a:bodyPr/>
        <a:lstStyle/>
        <a:p>
          <a:pPr rtl="0">
            <a:defRPr/>
          </a:pPr>
          <a:endParaRPr lang="es-UY"/>
        </a:p>
      </c:txPr>
    </c:legend>
    <c:plotVisOnly val="1"/>
  </c:chart>
  <c:printSettings>
    <c:headerFooter/>
    <c:pageMargins b="0.75000000000000122" l="0.70000000000000062" r="0.70000000000000062" t="0.750000000000001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UY"/>
  <c:chart>
    <c:plotArea>
      <c:layout/>
      <c:barChart>
        <c:barDir val="col"/>
        <c:grouping val="clustered"/>
        <c:ser>
          <c:idx val="0"/>
          <c:order val="0"/>
          <c:tx>
            <c:strRef>
              <c:f>[1]Hoja1!$B$43</c:f>
              <c:strCache>
                <c:ptCount val="1"/>
                <c:pt idx="0">
                  <c:v>Esfuerzo estimado</c:v>
                </c:pt>
              </c:strCache>
            </c:strRef>
          </c:tx>
          <c:cat>
            <c:strRef>
              <c:f>[1]Hoja1!$A$44:$A$56</c:f>
              <c:strCache>
                <c:ptCount val="13"/>
                <c:pt idx="1">
                  <c:v>Alejandro Garcia</c:v>
                </c:pt>
                <c:pt idx="2">
                  <c:v>Diego Ricca</c:v>
                </c:pt>
                <c:pt idx="3">
                  <c:v>Federico Andrade</c:v>
                </c:pt>
                <c:pt idx="4">
                  <c:v>Federico Trinidad</c:v>
                </c:pt>
                <c:pt idx="5">
                  <c:v>Ignacio Infante</c:v>
                </c:pt>
                <c:pt idx="6">
                  <c:v>Javier Madeiro</c:v>
                </c:pt>
                <c:pt idx="7">
                  <c:v>José Cordero</c:v>
                </c:pt>
                <c:pt idx="8">
                  <c:v>Juan Ghiringhelli</c:v>
                </c:pt>
                <c:pt idx="9">
                  <c:v>Leticia Vilariño</c:v>
                </c:pt>
                <c:pt idx="10">
                  <c:v>Marcos Sander</c:v>
                </c:pt>
                <c:pt idx="11">
                  <c:v>Martín Taruselli</c:v>
                </c:pt>
                <c:pt idx="12">
                  <c:v>Vicente Acosta</c:v>
                </c:pt>
              </c:strCache>
            </c:strRef>
          </c:cat>
          <c:val>
            <c:numRef>
              <c:f>[1]Hoja1!$B$44:$B$56</c:f>
              <c:numCache>
                <c:formatCode>General</c:formatCode>
                <c:ptCount val="13"/>
                <c:pt idx="1">
                  <c:v>60</c:v>
                </c:pt>
                <c:pt idx="2">
                  <c:v>60</c:v>
                </c:pt>
                <c:pt idx="3">
                  <c:v>60</c:v>
                </c:pt>
                <c:pt idx="4">
                  <c:v>60</c:v>
                </c:pt>
                <c:pt idx="5">
                  <c:v>60</c:v>
                </c:pt>
                <c:pt idx="6">
                  <c:v>60</c:v>
                </c:pt>
                <c:pt idx="7">
                  <c:v>60</c:v>
                </c:pt>
                <c:pt idx="8">
                  <c:v>60</c:v>
                </c:pt>
                <c:pt idx="9">
                  <c:v>60</c:v>
                </c:pt>
                <c:pt idx="10">
                  <c:v>60</c:v>
                </c:pt>
                <c:pt idx="11">
                  <c:v>60</c:v>
                </c:pt>
                <c:pt idx="12">
                  <c:v>60</c:v>
                </c:pt>
              </c:numCache>
            </c:numRef>
          </c:val>
        </c:ser>
        <c:ser>
          <c:idx val="1"/>
          <c:order val="1"/>
          <c:tx>
            <c:strRef>
              <c:f>[1]Hoja1!$C$43</c:f>
              <c:strCache>
                <c:ptCount val="1"/>
                <c:pt idx="0">
                  <c:v>Esfuerzo realizado</c:v>
                </c:pt>
              </c:strCache>
            </c:strRef>
          </c:tx>
          <c:cat>
            <c:strRef>
              <c:f>[1]Hoja1!$A$44:$A$56</c:f>
              <c:strCache>
                <c:ptCount val="13"/>
                <c:pt idx="1">
                  <c:v>Alejandro Garcia</c:v>
                </c:pt>
                <c:pt idx="2">
                  <c:v>Diego Ricca</c:v>
                </c:pt>
                <c:pt idx="3">
                  <c:v>Federico Andrade</c:v>
                </c:pt>
                <c:pt idx="4">
                  <c:v>Federico Trinidad</c:v>
                </c:pt>
                <c:pt idx="5">
                  <c:v>Ignacio Infante</c:v>
                </c:pt>
                <c:pt idx="6">
                  <c:v>Javier Madeiro</c:v>
                </c:pt>
                <c:pt idx="7">
                  <c:v>José Cordero</c:v>
                </c:pt>
                <c:pt idx="8">
                  <c:v>Juan Ghiringhelli</c:v>
                </c:pt>
                <c:pt idx="9">
                  <c:v>Leticia Vilariño</c:v>
                </c:pt>
                <c:pt idx="10">
                  <c:v>Marcos Sander</c:v>
                </c:pt>
                <c:pt idx="11">
                  <c:v>Martín Taruselli</c:v>
                </c:pt>
                <c:pt idx="12">
                  <c:v>Vicente Acosta</c:v>
                </c:pt>
              </c:strCache>
            </c:strRef>
          </c:cat>
          <c:val>
            <c:numRef>
              <c:f>[1]Hoja1!$C$44:$C$56</c:f>
              <c:numCache>
                <c:formatCode>General</c:formatCode>
                <c:ptCount val="13"/>
                <c:pt idx="1">
                  <c:v>76.5</c:v>
                </c:pt>
                <c:pt idx="2">
                  <c:v>65.5</c:v>
                </c:pt>
                <c:pt idx="3">
                  <c:v>75</c:v>
                </c:pt>
                <c:pt idx="4">
                  <c:v>76.5</c:v>
                </c:pt>
                <c:pt idx="5">
                  <c:v>88</c:v>
                </c:pt>
                <c:pt idx="6">
                  <c:v>75.5</c:v>
                </c:pt>
                <c:pt idx="7">
                  <c:v>69.5</c:v>
                </c:pt>
                <c:pt idx="8">
                  <c:v>84</c:v>
                </c:pt>
                <c:pt idx="9">
                  <c:v>69.5</c:v>
                </c:pt>
                <c:pt idx="10">
                  <c:v>67</c:v>
                </c:pt>
                <c:pt idx="11">
                  <c:v>67.5</c:v>
                </c:pt>
                <c:pt idx="12">
                  <c:v>69</c:v>
                </c:pt>
              </c:numCache>
            </c:numRef>
          </c:val>
        </c:ser>
        <c:gapWidth val="100"/>
        <c:axId val="83369344"/>
        <c:axId val="83371136"/>
      </c:barChart>
      <c:catAx>
        <c:axId val="83369344"/>
        <c:scaling>
          <c:orientation val="minMax"/>
        </c:scaling>
        <c:axPos val="b"/>
        <c:tickLblPos val="nextTo"/>
        <c:crossAx val="83371136"/>
        <c:crosses val="autoZero"/>
        <c:auto val="1"/>
        <c:lblAlgn val="ctr"/>
        <c:lblOffset val="100"/>
      </c:catAx>
      <c:valAx>
        <c:axId val="83371136"/>
        <c:scaling>
          <c:orientation val="minMax"/>
        </c:scaling>
        <c:axPos val="l"/>
        <c:majorGridlines/>
        <c:numFmt formatCode="General" sourceLinked="1"/>
        <c:tickLblPos val="nextTo"/>
        <c:crossAx val="83369344"/>
        <c:crosses val="autoZero"/>
        <c:crossBetween val="between"/>
      </c:valAx>
    </c:plotArea>
    <c:legend>
      <c:legendPos val="r"/>
      <c:txPr>
        <a:bodyPr/>
        <a:lstStyle/>
        <a:p>
          <a:pPr rtl="0">
            <a:defRPr/>
          </a:pPr>
          <a:endParaRPr lang="es-UY"/>
        </a:p>
      </c:txPr>
    </c:legend>
    <c:plotVisOnly val="1"/>
  </c:chart>
  <c:printSettings>
    <c:headerFooter/>
    <c:pageMargins b="0.75000000000000144" l="0.70000000000000062" r="0.70000000000000062" t="0.750000000000001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UY"/>
  <c:chart>
    <c:title/>
    <c:plotArea>
      <c:layout/>
      <c:barChart>
        <c:barDir val="col"/>
        <c:grouping val="clustered"/>
        <c:ser>
          <c:idx val="0"/>
          <c:order val="0"/>
          <c:tx>
            <c:strRef>
              <c:f>[1]Hoja1!$B$58</c:f>
              <c:strCache>
                <c:ptCount val="1"/>
                <c:pt idx="0">
                  <c:v>Esfuerzo realizado</c:v>
                </c:pt>
              </c:strCache>
            </c:strRef>
          </c:tx>
          <c:cat>
            <c:strRef>
              <c:f>[1]Hoja1!$A$59:$A$70</c:f>
              <c:strCache>
                <c:ptCount val="12"/>
                <c:pt idx="0">
                  <c:v>Analistas</c:v>
                </c:pt>
                <c:pt idx="1">
                  <c:v>Documentador de Usuario</c:v>
                </c:pt>
                <c:pt idx="2">
                  <c:v>Arquitecto</c:v>
                </c:pt>
                <c:pt idx="3">
                  <c:v>Coordinador de Desarrollo</c:v>
                </c:pt>
                <c:pt idx="4">
                  <c:v>Implementador</c:v>
                </c:pt>
                <c:pt idx="5">
                  <c:v>Especialistas Técnicos</c:v>
                </c:pt>
                <c:pt idx="6">
                  <c:v>Responsable de SQA</c:v>
                </c:pt>
                <c:pt idx="7">
                  <c:v>Responsable de SCM</c:v>
                </c:pt>
                <c:pt idx="8">
                  <c:v>Responsable de Verificación</c:v>
                </c:pt>
                <c:pt idx="9">
                  <c:v>Asistente de Verificación</c:v>
                </c:pt>
                <c:pt idx="10">
                  <c:v>Administrador</c:v>
                </c:pt>
                <c:pt idx="11">
                  <c:v>Responsable de la Comunicación</c:v>
                </c:pt>
              </c:strCache>
            </c:strRef>
          </c:cat>
          <c:val>
            <c:numRef>
              <c:f>[1]Hoja1!$B$59:$B$70</c:f>
              <c:numCache>
                <c:formatCode>General</c:formatCode>
                <c:ptCount val="12"/>
                <c:pt idx="0">
                  <c:v>24.5</c:v>
                </c:pt>
                <c:pt idx="2">
                  <c:v>18</c:v>
                </c:pt>
                <c:pt idx="3">
                  <c:v>1</c:v>
                </c:pt>
                <c:pt idx="4">
                  <c:v>106</c:v>
                </c:pt>
                <c:pt idx="5">
                  <c:v>64</c:v>
                </c:pt>
                <c:pt idx="6">
                  <c:v>21.5</c:v>
                </c:pt>
                <c:pt idx="7">
                  <c:v>1.5</c:v>
                </c:pt>
                <c:pt idx="8">
                  <c:v>26</c:v>
                </c:pt>
                <c:pt idx="9">
                  <c:v>0</c:v>
                </c:pt>
                <c:pt idx="10">
                  <c:v>20</c:v>
                </c:pt>
                <c:pt idx="11">
                  <c:v>2</c:v>
                </c:pt>
              </c:numCache>
            </c:numRef>
          </c:val>
        </c:ser>
        <c:gapWidth val="100"/>
        <c:axId val="83399424"/>
        <c:axId val="83400960"/>
      </c:barChart>
      <c:catAx>
        <c:axId val="83399424"/>
        <c:scaling>
          <c:orientation val="minMax"/>
        </c:scaling>
        <c:axPos val="b"/>
        <c:tickLblPos val="nextTo"/>
        <c:crossAx val="83400960"/>
        <c:crosses val="autoZero"/>
        <c:auto val="1"/>
        <c:lblAlgn val="ctr"/>
        <c:lblOffset val="100"/>
      </c:catAx>
      <c:valAx>
        <c:axId val="83400960"/>
        <c:scaling>
          <c:orientation val="minMax"/>
        </c:scaling>
        <c:axPos val="l"/>
        <c:majorGridlines/>
        <c:numFmt formatCode="General" sourceLinked="1"/>
        <c:tickLblPos val="nextTo"/>
        <c:crossAx val="83399424"/>
        <c:crosses val="autoZero"/>
        <c:crossBetween val="between"/>
      </c:valAx>
    </c:plotArea>
    <c:legend>
      <c:legendPos val="r"/>
      <c:txPr>
        <a:bodyPr/>
        <a:lstStyle/>
        <a:p>
          <a:pPr rtl="0">
            <a:defRPr/>
          </a:pPr>
          <a:endParaRPr lang="es-UY"/>
        </a:p>
      </c:txPr>
    </c:legend>
    <c:plotVisOnly val="1"/>
  </c:chart>
  <c:printSettings>
    <c:headerFooter/>
    <c:pageMargins b="0.75000000000000167" l="0.70000000000000062" r="0.70000000000000062" t="0.7500000000000016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UY"/>
  <c:chart>
    <c:title/>
    <c:plotArea>
      <c:layout/>
      <c:barChart>
        <c:barDir val="col"/>
        <c:grouping val="clustered"/>
        <c:ser>
          <c:idx val="0"/>
          <c:order val="0"/>
          <c:tx>
            <c:strRef>
              <c:f>[1]Hoja1!$B$72</c:f>
              <c:strCache>
                <c:ptCount val="1"/>
                <c:pt idx="0">
                  <c:v>Esfuerzo realizado</c:v>
                </c:pt>
              </c:strCache>
            </c:strRef>
          </c:tx>
          <c:cat>
            <c:strRef>
              <c:f>[1]Hoja1!$A$73:$A$84</c:f>
              <c:strCache>
                <c:ptCount val="12"/>
                <c:pt idx="0">
                  <c:v>Analistas</c:v>
                </c:pt>
                <c:pt idx="1">
                  <c:v>Documentador de Usuario</c:v>
                </c:pt>
                <c:pt idx="2">
                  <c:v>Arquitecto</c:v>
                </c:pt>
                <c:pt idx="3">
                  <c:v>Coordinador de Desarrollo</c:v>
                </c:pt>
                <c:pt idx="4">
                  <c:v>Implementador</c:v>
                </c:pt>
                <c:pt idx="5">
                  <c:v>Especialistas Técnicos</c:v>
                </c:pt>
                <c:pt idx="6">
                  <c:v>Responsable de SQA</c:v>
                </c:pt>
                <c:pt idx="7">
                  <c:v>Responsable de SCM</c:v>
                </c:pt>
                <c:pt idx="8">
                  <c:v>Responsable de Verificación</c:v>
                </c:pt>
                <c:pt idx="9">
                  <c:v>Asistente de Verificación</c:v>
                </c:pt>
                <c:pt idx="10">
                  <c:v>Administrador</c:v>
                </c:pt>
                <c:pt idx="11">
                  <c:v>Responsable de la Comunicación</c:v>
                </c:pt>
              </c:strCache>
            </c:strRef>
          </c:cat>
          <c:val>
            <c:numRef>
              <c:f>[1]Hoja1!$B$73:$B$84</c:f>
              <c:numCache>
                <c:formatCode>General</c:formatCode>
                <c:ptCount val="12"/>
                <c:pt idx="0">
                  <c:v>189.5</c:v>
                </c:pt>
                <c:pt idx="1">
                  <c:v>0</c:v>
                </c:pt>
                <c:pt idx="2">
                  <c:v>65</c:v>
                </c:pt>
                <c:pt idx="3">
                  <c:v>1</c:v>
                </c:pt>
                <c:pt idx="4">
                  <c:v>106</c:v>
                </c:pt>
                <c:pt idx="5">
                  <c:v>248.5</c:v>
                </c:pt>
                <c:pt idx="6">
                  <c:v>75.5</c:v>
                </c:pt>
                <c:pt idx="7">
                  <c:v>27.5</c:v>
                </c:pt>
                <c:pt idx="8">
                  <c:v>76.5</c:v>
                </c:pt>
                <c:pt idx="9">
                  <c:v>0</c:v>
                </c:pt>
                <c:pt idx="10">
                  <c:v>82</c:v>
                </c:pt>
                <c:pt idx="11">
                  <c:v>2</c:v>
                </c:pt>
              </c:numCache>
            </c:numRef>
          </c:val>
        </c:ser>
        <c:gapWidth val="100"/>
        <c:axId val="92494080"/>
        <c:axId val="92499968"/>
      </c:barChart>
      <c:catAx>
        <c:axId val="92494080"/>
        <c:scaling>
          <c:orientation val="minMax"/>
        </c:scaling>
        <c:axPos val="b"/>
        <c:tickLblPos val="nextTo"/>
        <c:crossAx val="92499968"/>
        <c:crosses val="autoZero"/>
        <c:auto val="1"/>
        <c:lblAlgn val="ctr"/>
        <c:lblOffset val="100"/>
      </c:catAx>
      <c:valAx>
        <c:axId val="92499968"/>
        <c:scaling>
          <c:orientation val="minMax"/>
        </c:scaling>
        <c:axPos val="l"/>
        <c:majorGridlines/>
        <c:numFmt formatCode="General" sourceLinked="1"/>
        <c:tickLblPos val="nextTo"/>
        <c:crossAx val="92494080"/>
        <c:crosses val="autoZero"/>
        <c:crossBetween val="between"/>
      </c:valAx>
    </c:plotArea>
    <c:legend>
      <c:legendPos val="r"/>
      <c:txPr>
        <a:bodyPr/>
        <a:lstStyle/>
        <a:p>
          <a:pPr rtl="0">
            <a:defRPr/>
          </a:pPr>
          <a:endParaRPr lang="es-UY"/>
        </a:p>
      </c:txPr>
    </c:legend>
    <c:plotVisOnly val="1"/>
  </c:chart>
  <c:printSettings>
    <c:headerFooter/>
    <c:pageMargins b="0.75000000000000189" l="0.70000000000000062" r="0.70000000000000062" t="0.7500000000000018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UY"/>
  <c:chart>
    <c:title/>
    <c:plotArea>
      <c:layout/>
      <c:pieChart>
        <c:varyColors val="1"/>
        <c:ser>
          <c:idx val="0"/>
          <c:order val="0"/>
          <c:tx>
            <c:strRef>
              <c:f>[1]Hoja1!$B$2</c:f>
              <c:strCache>
                <c:ptCount val="1"/>
                <c:pt idx="0">
                  <c:v>Horas realizadas</c:v>
                </c:pt>
              </c:strCache>
            </c:strRef>
          </c:tx>
          <c:dLbls>
            <c:showVal val="1"/>
            <c:showLeaderLines val="1"/>
          </c:dLbls>
          <c:cat>
            <c:strRef>
              <c:f>[1]Hoja1!$A$3:$A$12</c:f>
              <c:strCache>
                <c:ptCount val="10"/>
                <c:pt idx="0">
                  <c:v>Analisis</c:v>
                </c:pt>
                <c:pt idx="1">
                  <c:v>Diseño</c:v>
                </c:pt>
                <c:pt idx="2">
                  <c:v>Implementación</c:v>
                </c:pt>
                <c:pt idx="3">
                  <c:v>Gestión de calidad</c:v>
                </c:pt>
                <c:pt idx="4">
                  <c:v>Gestión de configuración</c:v>
                </c:pt>
                <c:pt idx="5">
                  <c:v>Gestión de proyecto</c:v>
                </c:pt>
                <c:pt idx="6">
                  <c:v>Verificación</c:v>
                </c:pt>
                <c:pt idx="7">
                  <c:v>Comunicación</c:v>
                </c:pt>
                <c:pt idx="8">
                  <c:v>Implantación</c:v>
                </c:pt>
                <c:pt idx="9">
                  <c:v>Formación y entrenamiento</c:v>
                </c:pt>
              </c:strCache>
            </c:strRef>
          </c:cat>
          <c:val>
            <c:numRef>
              <c:f>[1]Hoja1!$B$3:$B$12</c:f>
              <c:numCache>
                <c:formatCode>General</c:formatCode>
                <c:ptCount val="10"/>
                <c:pt idx="0">
                  <c:v>12</c:v>
                </c:pt>
                <c:pt idx="1">
                  <c:v>14.5</c:v>
                </c:pt>
                <c:pt idx="2">
                  <c:v>46</c:v>
                </c:pt>
                <c:pt idx="3">
                  <c:v>16</c:v>
                </c:pt>
                <c:pt idx="4">
                  <c:v>4.5</c:v>
                </c:pt>
                <c:pt idx="5">
                  <c:v>42</c:v>
                </c:pt>
                <c:pt idx="6">
                  <c:v>20</c:v>
                </c:pt>
                <c:pt idx="7">
                  <c:v>0</c:v>
                </c:pt>
                <c:pt idx="8">
                  <c:v>0</c:v>
                </c:pt>
                <c:pt idx="9">
                  <c:v>116</c:v>
                </c:pt>
              </c:numCache>
            </c:numRef>
          </c:val>
        </c:ser>
        <c:firstSliceAng val="0"/>
      </c:pieChart>
    </c:plotArea>
    <c:legend>
      <c:legendPos val="r"/>
      <c:txPr>
        <a:bodyPr/>
        <a:lstStyle/>
        <a:p>
          <a:pPr rtl="0">
            <a:defRPr/>
          </a:pPr>
          <a:endParaRPr lang="es-UY"/>
        </a:p>
      </c:txPr>
    </c:legend>
    <c:plotVisOnly val="1"/>
  </c:chart>
  <c:printSettings>
    <c:headerFooter/>
    <c:pageMargins b="0.75000000000000078" l="0.70000000000000062" r="0.70000000000000062" t="0.7500000000000007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UY"/>
  <c:chart>
    <c:title/>
    <c:plotArea>
      <c:layout/>
      <c:pieChart>
        <c:varyColors val="1"/>
        <c:ser>
          <c:idx val="0"/>
          <c:order val="0"/>
          <c:tx>
            <c:strRef>
              <c:f>[1]Hoja1!$B$15</c:f>
              <c:strCache>
                <c:ptCount val="1"/>
                <c:pt idx="0">
                  <c:v>Horas realizadas</c:v>
                </c:pt>
              </c:strCache>
            </c:strRef>
          </c:tx>
          <c:dLbls>
            <c:showVal val="1"/>
            <c:showLeaderLines val="1"/>
          </c:dLbls>
          <c:cat>
            <c:strRef>
              <c:f>[1]Hoja1!$A$16:$A$25</c:f>
              <c:strCache>
                <c:ptCount val="10"/>
                <c:pt idx="0">
                  <c:v>Analisis</c:v>
                </c:pt>
                <c:pt idx="1">
                  <c:v>Diseño</c:v>
                </c:pt>
                <c:pt idx="2">
                  <c:v>Implementación</c:v>
                </c:pt>
                <c:pt idx="3">
                  <c:v>Gestión de calidad</c:v>
                </c:pt>
                <c:pt idx="4">
                  <c:v>Gestión de configuración</c:v>
                </c:pt>
                <c:pt idx="5">
                  <c:v>Gestión de proyecto</c:v>
                </c:pt>
                <c:pt idx="6">
                  <c:v>Verificación</c:v>
                </c:pt>
                <c:pt idx="7">
                  <c:v>Comunicación</c:v>
                </c:pt>
                <c:pt idx="8">
                  <c:v>Implantación</c:v>
                </c:pt>
                <c:pt idx="9">
                  <c:v>Formación y entrenamiento</c:v>
                </c:pt>
              </c:strCache>
            </c:strRef>
          </c:cat>
          <c:val>
            <c:numRef>
              <c:f>[1]Hoja1!$B$16:$B$25</c:f>
              <c:numCache>
                <c:formatCode>General</c:formatCode>
                <c:ptCount val="10"/>
                <c:pt idx="0">
                  <c:v>65</c:v>
                </c:pt>
                <c:pt idx="1">
                  <c:v>21.5</c:v>
                </c:pt>
                <c:pt idx="2">
                  <c:v>60</c:v>
                </c:pt>
                <c:pt idx="3">
                  <c:v>53.5</c:v>
                </c:pt>
                <c:pt idx="4">
                  <c:v>9</c:v>
                </c:pt>
                <c:pt idx="5">
                  <c:v>137.5</c:v>
                </c:pt>
                <c:pt idx="6">
                  <c:v>31.5</c:v>
                </c:pt>
                <c:pt idx="7">
                  <c:v>1</c:v>
                </c:pt>
                <c:pt idx="8">
                  <c:v>7</c:v>
                </c:pt>
                <c:pt idx="9">
                  <c:v>391.5</c:v>
                </c:pt>
              </c:numCache>
            </c:numRef>
          </c:val>
        </c:ser>
        <c:firstSliceAng val="0"/>
      </c:pieChart>
    </c:plotArea>
    <c:legend>
      <c:legendPos val="r"/>
      <c:txPr>
        <a:bodyPr/>
        <a:lstStyle/>
        <a:p>
          <a:pPr rtl="0">
            <a:defRPr/>
          </a:pPr>
          <a:endParaRPr lang="es-UY"/>
        </a:p>
      </c:txPr>
    </c:legend>
    <c:plotVisOnly val="1"/>
  </c:chart>
  <c:printSettings>
    <c:headerFooter/>
    <c:pageMargins b="0.750000000000001" l="0.70000000000000062" r="0.70000000000000062" t="0.750000000000001"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219075</xdr:colOff>
      <xdr:row>15</xdr:row>
      <xdr:rowOff>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85725</xdr:colOff>
      <xdr:row>17</xdr:row>
      <xdr:rowOff>76200</xdr:rowOff>
    </xdr:from>
    <xdr:to>
      <xdr:col>7</xdr:col>
      <xdr:colOff>304800</xdr:colOff>
      <xdr:row>32</xdr:row>
      <xdr:rowOff>76200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0</xdr:row>
      <xdr:rowOff>0</xdr:rowOff>
    </xdr:from>
    <xdr:to>
      <xdr:col>7</xdr:col>
      <xdr:colOff>295275</xdr:colOff>
      <xdr:row>15</xdr:row>
      <xdr:rowOff>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142875</xdr:rowOff>
    </xdr:from>
    <xdr:to>
      <xdr:col>7</xdr:col>
      <xdr:colOff>219075</xdr:colOff>
      <xdr:row>32</xdr:row>
      <xdr:rowOff>142875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0</xdr:rowOff>
    </xdr:from>
    <xdr:to>
      <xdr:col>5</xdr:col>
      <xdr:colOff>676275</xdr:colOff>
      <xdr:row>16</xdr:row>
      <xdr:rowOff>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18</xdr:row>
      <xdr:rowOff>66675</xdr:rowOff>
    </xdr:from>
    <xdr:to>
      <xdr:col>5</xdr:col>
      <xdr:colOff>685800</xdr:colOff>
      <xdr:row>33</xdr:row>
      <xdr:rowOff>66675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anilla%20estimaciones%202.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oja1"/>
      <sheetName val="Hoja2"/>
      <sheetName val="Hoja3"/>
    </sheetNames>
    <sheetDataSet>
      <sheetData sheetId="0">
        <row r="2">
          <cell r="B2" t="str">
            <v>Horas realizadas</v>
          </cell>
        </row>
        <row r="3">
          <cell r="A3" t="str">
            <v>Analisis</v>
          </cell>
          <cell r="B3">
            <v>12</v>
          </cell>
        </row>
        <row r="4">
          <cell r="A4" t="str">
            <v>Diseño</v>
          </cell>
          <cell r="B4">
            <v>14.5</v>
          </cell>
        </row>
        <row r="5">
          <cell r="A5" t="str">
            <v>Implementación</v>
          </cell>
          <cell r="B5">
            <v>46</v>
          </cell>
        </row>
        <row r="6">
          <cell r="A6" t="str">
            <v>Gestión de calidad</v>
          </cell>
          <cell r="B6">
            <v>16</v>
          </cell>
        </row>
        <row r="7">
          <cell r="A7" t="str">
            <v>Gestión de configuración</v>
          </cell>
          <cell r="B7">
            <v>4.5</v>
          </cell>
        </row>
        <row r="8">
          <cell r="A8" t="str">
            <v>Gestión de proyecto</v>
          </cell>
          <cell r="B8">
            <v>42</v>
          </cell>
        </row>
        <row r="9">
          <cell r="A9" t="str">
            <v>Verificación</v>
          </cell>
          <cell r="B9">
            <v>20</v>
          </cell>
        </row>
        <row r="10">
          <cell r="A10" t="str">
            <v>Comunicación</v>
          </cell>
          <cell r="B10">
            <v>0</v>
          </cell>
        </row>
        <row r="11">
          <cell r="A11" t="str">
            <v>Implantación</v>
          </cell>
          <cell r="B11">
            <v>0</v>
          </cell>
        </row>
        <row r="12">
          <cell r="A12" t="str">
            <v>Formación y entrenamiento</v>
          </cell>
          <cell r="B12">
            <v>116</v>
          </cell>
        </row>
        <row r="15">
          <cell r="B15" t="str">
            <v>Horas realizadas</v>
          </cell>
        </row>
        <row r="16">
          <cell r="A16" t="str">
            <v>Analisis</v>
          </cell>
          <cell r="B16">
            <v>65</v>
          </cell>
        </row>
        <row r="17">
          <cell r="A17" t="str">
            <v>Diseño</v>
          </cell>
          <cell r="B17">
            <v>21.5</v>
          </cell>
        </row>
        <row r="18">
          <cell r="A18" t="str">
            <v>Implementación</v>
          </cell>
          <cell r="B18">
            <v>60</v>
          </cell>
        </row>
        <row r="19">
          <cell r="A19" t="str">
            <v>Gestión de calidad</v>
          </cell>
          <cell r="B19">
            <v>53.5</v>
          </cell>
        </row>
        <row r="20">
          <cell r="A20" t="str">
            <v>Gestión de configuración</v>
          </cell>
          <cell r="B20">
            <v>9</v>
          </cell>
        </row>
        <row r="21">
          <cell r="A21" t="str">
            <v>Gestión de proyecto</v>
          </cell>
          <cell r="B21">
            <v>137.5</v>
          </cell>
        </row>
        <row r="22">
          <cell r="A22" t="str">
            <v>Verificación</v>
          </cell>
          <cell r="B22">
            <v>31.5</v>
          </cell>
        </row>
        <row r="23">
          <cell r="A23" t="str">
            <v>Comunicación</v>
          </cell>
          <cell r="B23">
            <v>1</v>
          </cell>
        </row>
        <row r="24">
          <cell r="A24" t="str">
            <v>Implantación</v>
          </cell>
          <cell r="B24">
            <v>7</v>
          </cell>
        </row>
        <row r="25">
          <cell r="A25" t="str">
            <v>Formación y entrenamiento</v>
          </cell>
          <cell r="B25">
            <v>391.5</v>
          </cell>
        </row>
        <row r="28">
          <cell r="B28" t="str">
            <v>Esfuerzo estimado</v>
          </cell>
          <cell r="C28" t="str">
            <v>Esfuerzo realizado</v>
          </cell>
        </row>
        <row r="30">
          <cell r="A30" t="str">
            <v>Alejandro Garcia</v>
          </cell>
          <cell r="B30">
            <v>15</v>
          </cell>
          <cell r="C30">
            <v>26</v>
          </cell>
        </row>
        <row r="31">
          <cell r="A31" t="str">
            <v>Diego Ricca</v>
          </cell>
          <cell r="B31">
            <v>15</v>
          </cell>
          <cell r="C31">
            <v>23.5</v>
          </cell>
        </row>
        <row r="32">
          <cell r="A32" t="str">
            <v>Federico Andrade</v>
          </cell>
          <cell r="B32">
            <v>15</v>
          </cell>
          <cell r="C32">
            <v>26</v>
          </cell>
        </row>
        <row r="33">
          <cell r="A33" t="str">
            <v>Federico Trinidad</v>
          </cell>
          <cell r="B33">
            <v>15</v>
          </cell>
          <cell r="C33">
            <v>29</v>
          </cell>
        </row>
        <row r="34">
          <cell r="A34" t="str">
            <v>Ignacio Infante</v>
          </cell>
          <cell r="B34">
            <v>15</v>
          </cell>
          <cell r="C34">
            <v>30</v>
          </cell>
        </row>
        <row r="35">
          <cell r="A35" t="str">
            <v>Javier Madeiro</v>
          </cell>
          <cell r="B35">
            <v>15</v>
          </cell>
          <cell r="C35">
            <v>21.5</v>
          </cell>
        </row>
        <row r="36">
          <cell r="A36" t="str">
            <v>José Cordero</v>
          </cell>
          <cell r="B36">
            <v>15</v>
          </cell>
          <cell r="C36">
            <v>22</v>
          </cell>
        </row>
        <row r="37">
          <cell r="A37" t="str">
            <v>Juan Ghiringhelli</v>
          </cell>
          <cell r="B37">
            <v>15</v>
          </cell>
          <cell r="C37">
            <v>22</v>
          </cell>
        </row>
        <row r="38">
          <cell r="A38" t="str">
            <v>Leticia Vilariño</v>
          </cell>
          <cell r="B38">
            <v>15</v>
          </cell>
          <cell r="C38">
            <v>20.5</v>
          </cell>
        </row>
        <row r="39">
          <cell r="A39" t="str">
            <v>Marcos Sander</v>
          </cell>
          <cell r="B39">
            <v>15</v>
          </cell>
          <cell r="C39">
            <v>20</v>
          </cell>
        </row>
        <row r="40">
          <cell r="A40" t="str">
            <v>Martín Taruselli</v>
          </cell>
          <cell r="B40">
            <v>15</v>
          </cell>
          <cell r="C40">
            <v>23</v>
          </cell>
        </row>
        <row r="41">
          <cell r="A41" t="str">
            <v>Vicente Acosta</v>
          </cell>
          <cell r="B41">
            <v>15</v>
          </cell>
          <cell r="C41">
            <v>25.5</v>
          </cell>
        </row>
        <row r="43">
          <cell r="B43" t="str">
            <v>Esfuerzo estimado</v>
          </cell>
          <cell r="C43" t="str">
            <v>Esfuerzo realizado</v>
          </cell>
        </row>
        <row r="45">
          <cell r="A45" t="str">
            <v>Alejandro Garcia</v>
          </cell>
          <cell r="B45">
            <v>60</v>
          </cell>
          <cell r="C45">
            <v>76.5</v>
          </cell>
        </row>
        <row r="46">
          <cell r="A46" t="str">
            <v>Diego Ricca</v>
          </cell>
          <cell r="B46">
            <v>60</v>
          </cell>
          <cell r="C46">
            <v>65.5</v>
          </cell>
        </row>
        <row r="47">
          <cell r="A47" t="str">
            <v>Federico Andrade</v>
          </cell>
          <cell r="B47">
            <v>60</v>
          </cell>
          <cell r="C47">
            <v>75</v>
          </cell>
        </row>
        <row r="48">
          <cell r="A48" t="str">
            <v>Federico Trinidad</v>
          </cell>
          <cell r="B48">
            <v>60</v>
          </cell>
          <cell r="C48">
            <v>76.5</v>
          </cell>
        </row>
        <row r="49">
          <cell r="A49" t="str">
            <v>Ignacio Infante</v>
          </cell>
          <cell r="B49">
            <v>60</v>
          </cell>
          <cell r="C49">
            <v>88</v>
          </cell>
        </row>
        <row r="50">
          <cell r="A50" t="str">
            <v>Javier Madeiro</v>
          </cell>
          <cell r="B50">
            <v>60</v>
          </cell>
          <cell r="C50">
            <v>75.5</v>
          </cell>
        </row>
        <row r="51">
          <cell r="A51" t="str">
            <v>José Cordero</v>
          </cell>
          <cell r="B51">
            <v>60</v>
          </cell>
          <cell r="C51">
            <v>69.5</v>
          </cell>
        </row>
        <row r="52">
          <cell r="A52" t="str">
            <v>Juan Ghiringhelli</v>
          </cell>
          <cell r="B52">
            <v>60</v>
          </cell>
          <cell r="C52">
            <v>84</v>
          </cell>
        </row>
        <row r="53">
          <cell r="A53" t="str">
            <v>Leticia Vilariño</v>
          </cell>
          <cell r="B53">
            <v>60</v>
          </cell>
          <cell r="C53">
            <v>69.5</v>
          </cell>
        </row>
        <row r="54">
          <cell r="A54" t="str">
            <v>Marcos Sander</v>
          </cell>
          <cell r="B54">
            <v>60</v>
          </cell>
          <cell r="C54">
            <v>67</v>
          </cell>
        </row>
        <row r="55">
          <cell r="A55" t="str">
            <v>Martín Taruselli</v>
          </cell>
          <cell r="B55">
            <v>60</v>
          </cell>
          <cell r="C55">
            <v>67.5</v>
          </cell>
        </row>
        <row r="56">
          <cell r="A56" t="str">
            <v>Vicente Acosta</v>
          </cell>
          <cell r="B56">
            <v>60</v>
          </cell>
          <cell r="C56">
            <v>69</v>
          </cell>
        </row>
        <row r="58">
          <cell r="B58" t="str">
            <v>Esfuerzo realizado</v>
          </cell>
        </row>
        <row r="59">
          <cell r="A59" t="str">
            <v>Analistas</v>
          </cell>
          <cell r="B59">
            <v>24.5</v>
          </cell>
        </row>
        <row r="60">
          <cell r="A60" t="str">
            <v>Documentador de Usuario</v>
          </cell>
        </row>
        <row r="61">
          <cell r="A61" t="str">
            <v>Arquitecto</v>
          </cell>
          <cell r="B61">
            <v>18</v>
          </cell>
        </row>
        <row r="62">
          <cell r="A62" t="str">
            <v>Coordinador de Desarrollo</v>
          </cell>
          <cell r="B62">
            <v>1</v>
          </cell>
        </row>
        <row r="63">
          <cell r="A63" t="str">
            <v>Implementador</v>
          </cell>
          <cell r="B63">
            <v>106</v>
          </cell>
        </row>
        <row r="64">
          <cell r="A64" t="str">
            <v>Especialistas Técnicos</v>
          </cell>
          <cell r="B64">
            <v>64</v>
          </cell>
        </row>
        <row r="65">
          <cell r="A65" t="str">
            <v>Responsable de SQA</v>
          </cell>
          <cell r="B65">
            <v>21.5</v>
          </cell>
        </row>
        <row r="66">
          <cell r="A66" t="str">
            <v>Responsable de SCM</v>
          </cell>
          <cell r="B66">
            <v>1.5</v>
          </cell>
        </row>
        <row r="67">
          <cell r="A67" t="str">
            <v>Responsable de Verificación</v>
          </cell>
          <cell r="B67">
            <v>26</v>
          </cell>
        </row>
        <row r="68">
          <cell r="A68" t="str">
            <v>Asistente de Verificación</v>
          </cell>
          <cell r="B68">
            <v>0</v>
          </cell>
        </row>
        <row r="69">
          <cell r="A69" t="str">
            <v>Administrador</v>
          </cell>
          <cell r="B69">
            <v>20</v>
          </cell>
        </row>
        <row r="70">
          <cell r="A70" t="str">
            <v>Responsable de la Comunicación</v>
          </cell>
          <cell r="B70">
            <v>2</v>
          </cell>
        </row>
        <row r="72">
          <cell r="B72" t="str">
            <v>Esfuerzo realizado</v>
          </cell>
        </row>
        <row r="73">
          <cell r="A73" t="str">
            <v>Analistas</v>
          </cell>
          <cell r="B73">
            <v>189.5</v>
          </cell>
        </row>
        <row r="74">
          <cell r="A74" t="str">
            <v>Documentador de Usuario</v>
          </cell>
          <cell r="B74">
            <v>0</v>
          </cell>
        </row>
        <row r="75">
          <cell r="A75" t="str">
            <v>Arquitecto</v>
          </cell>
          <cell r="B75">
            <v>65</v>
          </cell>
        </row>
        <row r="76">
          <cell r="A76" t="str">
            <v>Coordinador de Desarrollo</v>
          </cell>
          <cell r="B76">
            <v>1</v>
          </cell>
        </row>
        <row r="77">
          <cell r="A77" t="str">
            <v>Implementador</v>
          </cell>
          <cell r="B77">
            <v>106</v>
          </cell>
        </row>
        <row r="78">
          <cell r="A78" t="str">
            <v>Especialistas Técnicos</v>
          </cell>
          <cell r="B78">
            <v>248.5</v>
          </cell>
        </row>
        <row r="79">
          <cell r="A79" t="str">
            <v>Responsable de SQA</v>
          </cell>
          <cell r="B79">
            <v>75.5</v>
          </cell>
        </row>
        <row r="80">
          <cell r="A80" t="str">
            <v>Responsable de SCM</v>
          </cell>
          <cell r="B80">
            <v>27.5</v>
          </cell>
        </row>
        <row r="81">
          <cell r="A81" t="str">
            <v>Responsable de Verificación</v>
          </cell>
          <cell r="B81">
            <v>76.5</v>
          </cell>
        </row>
        <row r="82">
          <cell r="A82" t="str">
            <v>Asistente de Verificación</v>
          </cell>
          <cell r="B82">
            <v>0</v>
          </cell>
        </row>
        <row r="83">
          <cell r="A83" t="str">
            <v>Administrador</v>
          </cell>
          <cell r="B83">
            <v>82</v>
          </cell>
        </row>
        <row r="84">
          <cell r="A84" t="str">
            <v>Responsable de la Comunicación</v>
          </cell>
          <cell r="B84">
            <v>2</v>
          </cell>
        </row>
      </sheetData>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Hoja1"/>
  <dimension ref="A1:K30"/>
  <sheetViews>
    <sheetView zoomScaleNormal="100" workbookViewId="0">
      <selection activeCell="A5" sqref="A5:A18"/>
    </sheetView>
  </sheetViews>
  <sheetFormatPr baseColWidth="10" defaultColWidth="9.140625" defaultRowHeight="12.75" customHeight="1"/>
  <cols>
    <col min="1" max="1" width="12.140625" customWidth="1"/>
    <col min="2" max="2" width="21.42578125" customWidth="1"/>
    <col min="3" max="3" width="44.5703125" customWidth="1"/>
    <col min="4" max="4" width="10.85546875" style="17" customWidth="1"/>
    <col min="5" max="5" width="70" customWidth="1"/>
    <col min="6" max="11" width="10.85546875" customWidth="1"/>
  </cols>
  <sheetData>
    <row r="1" spans="1:11" ht="12.75" customHeight="1">
      <c r="A1" s="1" t="s">
        <v>13</v>
      </c>
      <c r="B1" s="2">
        <v>2</v>
      </c>
      <c r="C1" s="1" t="s">
        <v>18</v>
      </c>
    </row>
    <row r="2" spans="1:11" ht="12.75" customHeight="1">
      <c r="A2" s="1" t="s">
        <v>30</v>
      </c>
      <c r="B2" s="3" t="s">
        <v>15</v>
      </c>
    </row>
    <row r="4" spans="1:11" ht="12.75" customHeight="1">
      <c r="A4" s="4" t="s">
        <v>41</v>
      </c>
      <c r="B4" s="4" t="s">
        <v>10</v>
      </c>
      <c r="C4" s="4" t="s">
        <v>14</v>
      </c>
      <c r="D4" s="18" t="s">
        <v>19</v>
      </c>
      <c r="E4" s="4" t="s">
        <v>5</v>
      </c>
      <c r="F4" s="5" t="s">
        <v>57</v>
      </c>
      <c r="G4" s="5" t="s">
        <v>58</v>
      </c>
      <c r="H4" s="5"/>
      <c r="I4" s="5"/>
      <c r="J4" s="5"/>
      <c r="K4" s="5"/>
    </row>
    <row r="5" spans="1:11" ht="12.75" customHeight="1">
      <c r="A5" s="28" t="s">
        <v>55</v>
      </c>
      <c r="B5" s="6" t="s">
        <v>78</v>
      </c>
      <c r="C5" s="6" t="s">
        <v>79</v>
      </c>
      <c r="D5" s="19">
        <v>2.5</v>
      </c>
      <c r="E5" s="7"/>
      <c r="F5" s="6"/>
      <c r="G5" s="6" t="s">
        <v>73</v>
      </c>
      <c r="H5" s="6"/>
      <c r="I5" s="6"/>
      <c r="J5" s="6"/>
      <c r="K5" s="6"/>
    </row>
    <row r="6" spans="1:11" ht="12.75" customHeight="1">
      <c r="A6" s="29" t="s">
        <v>241</v>
      </c>
      <c r="B6" s="7" t="s">
        <v>80</v>
      </c>
      <c r="C6" s="7" t="s">
        <v>81</v>
      </c>
      <c r="D6" s="19">
        <v>1</v>
      </c>
      <c r="E6" s="7" t="s">
        <v>82</v>
      </c>
      <c r="F6" t="s">
        <v>73</v>
      </c>
    </row>
    <row r="7" spans="1:11" ht="12.75" customHeight="1">
      <c r="A7" s="29" t="s">
        <v>241</v>
      </c>
      <c r="B7" s="7" t="s">
        <v>83</v>
      </c>
      <c r="C7" s="7" t="s">
        <v>84</v>
      </c>
      <c r="D7" s="17">
        <v>1</v>
      </c>
      <c r="F7" t="s">
        <v>73</v>
      </c>
    </row>
    <row r="8" spans="1:11" ht="12.75" customHeight="1">
      <c r="A8" s="29" t="s">
        <v>242</v>
      </c>
      <c r="B8" s="7" t="s">
        <v>85</v>
      </c>
      <c r="C8" s="7" t="s">
        <v>86</v>
      </c>
      <c r="D8" s="19">
        <v>1</v>
      </c>
      <c r="E8" s="7"/>
      <c r="F8" t="s">
        <v>73</v>
      </c>
    </row>
    <row r="9" spans="1:11" ht="12.75" customHeight="1">
      <c r="A9" s="29" t="s">
        <v>242</v>
      </c>
      <c r="B9" s="7" t="s">
        <v>87</v>
      </c>
      <c r="C9" s="7" t="s">
        <v>88</v>
      </c>
      <c r="D9" s="19">
        <v>1</v>
      </c>
      <c r="E9" s="7" t="s">
        <v>89</v>
      </c>
      <c r="F9" t="s">
        <v>73</v>
      </c>
    </row>
    <row r="10" spans="1:11" ht="12.75" customHeight="1">
      <c r="A10" s="29" t="s">
        <v>242</v>
      </c>
      <c r="B10" s="7" t="s">
        <v>80</v>
      </c>
      <c r="C10" s="7" t="s">
        <v>81</v>
      </c>
      <c r="D10" s="17">
        <v>1</v>
      </c>
      <c r="E10" t="s">
        <v>90</v>
      </c>
      <c r="F10" t="s">
        <v>73</v>
      </c>
    </row>
    <row r="11" spans="1:11" ht="12.75" customHeight="1">
      <c r="A11" s="29" t="s">
        <v>111</v>
      </c>
      <c r="B11" s="7" t="s">
        <v>91</v>
      </c>
      <c r="C11" s="7" t="s">
        <v>92</v>
      </c>
      <c r="D11" s="17">
        <v>2</v>
      </c>
      <c r="E11" t="s">
        <v>93</v>
      </c>
      <c r="F11" t="s">
        <v>73</v>
      </c>
    </row>
    <row r="12" spans="1:11" ht="12.75" customHeight="1">
      <c r="A12" s="29" t="s">
        <v>111</v>
      </c>
      <c r="B12" s="7" t="s">
        <v>94</v>
      </c>
      <c r="C12" s="7" t="s">
        <v>95</v>
      </c>
      <c r="D12" s="17">
        <v>0.5</v>
      </c>
      <c r="F12" t="s">
        <v>73</v>
      </c>
    </row>
    <row r="13" spans="1:11" ht="12.75" customHeight="1">
      <c r="A13" s="29" t="s">
        <v>111</v>
      </c>
      <c r="B13" s="7" t="s">
        <v>87</v>
      </c>
      <c r="C13" s="7" t="s">
        <v>96</v>
      </c>
      <c r="D13" s="19">
        <v>0.5</v>
      </c>
      <c r="E13" s="7" t="s">
        <v>89</v>
      </c>
      <c r="F13" t="s">
        <v>73</v>
      </c>
    </row>
    <row r="14" spans="1:11" ht="12.75" customHeight="1">
      <c r="A14" s="29" t="s">
        <v>111</v>
      </c>
      <c r="B14" s="7" t="s">
        <v>97</v>
      </c>
      <c r="C14" s="7" t="s">
        <v>98</v>
      </c>
      <c r="D14" s="19">
        <v>0.5</v>
      </c>
      <c r="E14" s="7" t="s">
        <v>99</v>
      </c>
      <c r="F14" t="s">
        <v>73</v>
      </c>
    </row>
    <row r="15" spans="1:11" ht="12.75" customHeight="1">
      <c r="A15" s="29" t="s">
        <v>117</v>
      </c>
      <c r="B15" s="7" t="s">
        <v>97</v>
      </c>
      <c r="C15" s="7" t="s">
        <v>98</v>
      </c>
      <c r="D15" s="19">
        <v>2</v>
      </c>
      <c r="E15" s="7" t="s">
        <v>100</v>
      </c>
      <c r="F15" t="s">
        <v>73</v>
      </c>
    </row>
    <row r="16" spans="1:11" ht="12.75" customHeight="1">
      <c r="A16" s="30" t="s">
        <v>119</v>
      </c>
      <c r="B16" t="s">
        <v>97</v>
      </c>
      <c r="C16" t="s">
        <v>98</v>
      </c>
      <c r="D16" s="17">
        <v>4</v>
      </c>
      <c r="E16" t="s">
        <v>100</v>
      </c>
      <c r="F16" t="s">
        <v>73</v>
      </c>
    </row>
    <row r="17" spans="1:7" ht="12.75" customHeight="1">
      <c r="A17" s="30" t="s">
        <v>119</v>
      </c>
      <c r="B17" t="s">
        <v>87</v>
      </c>
      <c r="C17" t="s">
        <v>96</v>
      </c>
      <c r="D17" s="17">
        <v>2</v>
      </c>
      <c r="E17" t="s">
        <v>101</v>
      </c>
      <c r="F17" t="s">
        <v>73</v>
      </c>
    </row>
    <row r="18" spans="1:7" ht="12.75" customHeight="1">
      <c r="A18" s="30" t="s">
        <v>56</v>
      </c>
      <c r="B18" t="s">
        <v>78</v>
      </c>
      <c r="C18" t="s">
        <v>79</v>
      </c>
      <c r="D18" s="17">
        <v>7</v>
      </c>
      <c r="E18" t="s">
        <v>102</v>
      </c>
      <c r="G18" t="s">
        <v>73</v>
      </c>
    </row>
    <row r="29" spans="1:7" ht="12.75" customHeight="1">
      <c r="C29" s="1" t="s">
        <v>33</v>
      </c>
      <c r="D29" s="24">
        <f>SUM(D4:D28)</f>
        <v>26</v>
      </c>
    </row>
    <row r="30" spans="1:7" ht="12.75" customHeight="1">
      <c r="D30" s="20"/>
    </row>
  </sheetData>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sheetPr codeName="Hoja2"/>
  <dimension ref="A1:K30"/>
  <sheetViews>
    <sheetView zoomScaleNormal="100" workbookViewId="0">
      <selection activeCell="A6" sqref="A6"/>
    </sheetView>
  </sheetViews>
  <sheetFormatPr baseColWidth="10" defaultColWidth="9.140625" defaultRowHeight="12.75" customHeight="1"/>
  <cols>
    <col min="1" max="1" width="12.7109375" customWidth="1"/>
    <col min="2" max="2" width="18.5703125" customWidth="1"/>
    <col min="3" max="3" width="36" customWidth="1"/>
    <col min="4" max="4" width="10.85546875" style="17" customWidth="1"/>
    <col min="5" max="5" width="50.140625" customWidth="1"/>
    <col min="6" max="11" width="10.85546875" customWidth="1"/>
  </cols>
  <sheetData>
    <row r="1" spans="1:11" ht="12.75" customHeight="1">
      <c r="A1" s="1" t="s">
        <v>13</v>
      </c>
      <c r="B1" s="3" t="s">
        <v>4</v>
      </c>
      <c r="C1" s="1" t="s">
        <v>18</v>
      </c>
    </row>
    <row r="2" spans="1:11" ht="12.75" customHeight="1">
      <c r="A2" s="1" t="s">
        <v>30</v>
      </c>
      <c r="B2" s="3" t="s">
        <v>23</v>
      </c>
    </row>
    <row r="4" spans="1:11" ht="12.75" customHeight="1">
      <c r="A4" s="4" t="s">
        <v>41</v>
      </c>
      <c r="B4" s="4" t="s">
        <v>10</v>
      </c>
      <c r="C4" s="4" t="s">
        <v>14</v>
      </c>
      <c r="D4" s="18" t="s">
        <v>19</v>
      </c>
      <c r="E4" s="4" t="s">
        <v>5</v>
      </c>
      <c r="F4" s="5" t="s">
        <v>59</v>
      </c>
      <c r="G4" s="5" t="s">
        <v>60</v>
      </c>
      <c r="H4" s="5"/>
      <c r="I4" s="5"/>
      <c r="J4" s="5"/>
      <c r="K4" s="5"/>
    </row>
    <row r="5" spans="1:11" ht="12.75" customHeight="1">
      <c r="A5" s="28" t="s">
        <v>103</v>
      </c>
      <c r="B5" s="28" t="s">
        <v>49</v>
      </c>
      <c r="C5" s="28" t="s">
        <v>104</v>
      </c>
      <c r="D5" s="19">
        <v>3</v>
      </c>
      <c r="E5" s="7" t="s">
        <v>105</v>
      </c>
      <c r="F5" s="6"/>
      <c r="G5" s="6" t="s">
        <v>73</v>
      </c>
      <c r="H5" s="6"/>
      <c r="I5" s="6"/>
      <c r="J5" s="6"/>
      <c r="K5" s="6"/>
    </row>
    <row r="6" spans="1:11" ht="12.75" customHeight="1">
      <c r="A6" s="29" t="s">
        <v>106</v>
      </c>
      <c r="B6" s="29" t="s">
        <v>94</v>
      </c>
      <c r="C6" s="29" t="s">
        <v>95</v>
      </c>
      <c r="D6" s="19">
        <v>2</v>
      </c>
      <c r="E6" s="7" t="s">
        <v>107</v>
      </c>
      <c r="F6" t="s">
        <v>73</v>
      </c>
    </row>
    <row r="7" spans="1:11" ht="12.75" customHeight="1">
      <c r="A7" s="29" t="s">
        <v>108</v>
      </c>
      <c r="B7" s="29" t="s">
        <v>109</v>
      </c>
      <c r="C7" s="29" t="s">
        <v>110</v>
      </c>
      <c r="D7" s="21">
        <v>2</v>
      </c>
      <c r="E7" s="7"/>
      <c r="F7" t="s">
        <v>73</v>
      </c>
    </row>
    <row r="8" spans="1:11" ht="12.75" customHeight="1">
      <c r="A8" s="29" t="s">
        <v>111</v>
      </c>
      <c r="B8" s="29" t="s">
        <v>75</v>
      </c>
      <c r="C8" s="29" t="s">
        <v>112</v>
      </c>
      <c r="D8" s="19">
        <v>2</v>
      </c>
      <c r="E8" s="7" t="s">
        <v>113</v>
      </c>
      <c r="F8" t="s">
        <v>73</v>
      </c>
    </row>
    <row r="9" spans="1:11" ht="12.75" customHeight="1">
      <c r="A9" s="29" t="s">
        <v>111</v>
      </c>
      <c r="B9" s="29" t="s">
        <v>114</v>
      </c>
      <c r="C9" s="29" t="s">
        <v>115</v>
      </c>
      <c r="D9" s="19">
        <v>1</v>
      </c>
      <c r="E9" s="7" t="s">
        <v>116</v>
      </c>
      <c r="F9" t="s">
        <v>73</v>
      </c>
    </row>
    <row r="10" spans="1:11" ht="12.75" customHeight="1">
      <c r="A10" s="29" t="s">
        <v>117</v>
      </c>
      <c r="B10" s="29" t="s">
        <v>49</v>
      </c>
      <c r="C10" s="29" t="s">
        <v>104</v>
      </c>
      <c r="D10" s="19">
        <v>1</v>
      </c>
      <c r="E10" s="7" t="s">
        <v>105</v>
      </c>
      <c r="G10" t="s">
        <v>73</v>
      </c>
    </row>
    <row r="11" spans="1:11" ht="12.75" customHeight="1">
      <c r="A11" s="29" t="s">
        <v>118</v>
      </c>
      <c r="B11" s="29" t="s">
        <v>109</v>
      </c>
      <c r="C11" s="29" t="s">
        <v>110</v>
      </c>
      <c r="D11" s="19">
        <v>2</v>
      </c>
      <c r="E11" s="7"/>
      <c r="F11" t="s">
        <v>73</v>
      </c>
    </row>
    <row r="12" spans="1:11" ht="12.75" customHeight="1">
      <c r="A12" s="29" t="s">
        <v>119</v>
      </c>
      <c r="B12" s="29" t="s">
        <v>87</v>
      </c>
      <c r="C12" s="29" t="s">
        <v>101</v>
      </c>
      <c r="D12" s="21">
        <v>2</v>
      </c>
      <c r="E12" s="7"/>
      <c r="F12" t="s">
        <v>73</v>
      </c>
    </row>
    <row r="13" spans="1:11" ht="12.75" customHeight="1">
      <c r="A13" s="29" t="s">
        <v>56</v>
      </c>
      <c r="B13" s="29" t="s">
        <v>49</v>
      </c>
      <c r="C13" s="29" t="s">
        <v>120</v>
      </c>
      <c r="D13" s="19">
        <v>5</v>
      </c>
      <c r="E13" s="7" t="s">
        <v>121</v>
      </c>
      <c r="G13" t="s">
        <v>73</v>
      </c>
    </row>
    <row r="14" spans="1:11" ht="12.75" customHeight="1">
      <c r="A14" s="29" t="s">
        <v>56</v>
      </c>
      <c r="B14" s="29" t="s">
        <v>76</v>
      </c>
      <c r="C14" s="29" t="s">
        <v>122</v>
      </c>
      <c r="D14" s="19">
        <v>1.5</v>
      </c>
      <c r="E14" s="7" t="s">
        <v>123</v>
      </c>
      <c r="F14" t="s">
        <v>73</v>
      </c>
    </row>
    <row r="15" spans="1:11" ht="12.75" customHeight="1">
      <c r="A15" s="30" t="s">
        <v>56</v>
      </c>
      <c r="B15" s="30" t="s">
        <v>83</v>
      </c>
      <c r="C15" s="30" t="s">
        <v>124</v>
      </c>
      <c r="D15" s="17">
        <v>2</v>
      </c>
      <c r="E15" t="s">
        <v>125</v>
      </c>
      <c r="F15" t="s">
        <v>73</v>
      </c>
    </row>
    <row r="16" spans="1:11" ht="12.75" customHeight="1">
      <c r="A16" s="30"/>
      <c r="B16" s="30"/>
      <c r="C16" s="30"/>
    </row>
    <row r="17" spans="1:4" ht="12.75" customHeight="1">
      <c r="A17" s="30"/>
      <c r="B17" s="30"/>
      <c r="C17" s="30"/>
    </row>
    <row r="18" spans="1:4" ht="12.75" customHeight="1">
      <c r="A18" s="30"/>
      <c r="B18" s="30"/>
      <c r="C18" s="30"/>
    </row>
    <row r="19" spans="1:4" ht="12.75" customHeight="1">
      <c r="A19" s="30"/>
      <c r="B19" s="30"/>
      <c r="C19" s="30"/>
    </row>
    <row r="20" spans="1:4" ht="12.75" customHeight="1">
      <c r="A20" s="30"/>
      <c r="B20" s="30"/>
      <c r="C20" s="30"/>
    </row>
    <row r="21" spans="1:4" ht="12.75" customHeight="1">
      <c r="A21" s="30"/>
      <c r="B21" s="30"/>
      <c r="C21" s="30"/>
    </row>
    <row r="22" spans="1:4" ht="12.75" customHeight="1">
      <c r="A22" s="30"/>
      <c r="B22" s="30"/>
      <c r="C22" s="30"/>
    </row>
    <row r="23" spans="1:4" ht="12.75" customHeight="1">
      <c r="A23" s="30"/>
      <c r="B23" s="30"/>
      <c r="C23" s="30"/>
    </row>
    <row r="24" spans="1:4" ht="12.75" customHeight="1">
      <c r="A24" s="30"/>
      <c r="B24" s="30"/>
      <c r="C24" s="30"/>
    </row>
    <row r="25" spans="1:4" ht="12.75" customHeight="1">
      <c r="A25" s="30"/>
      <c r="B25" s="30"/>
      <c r="C25" s="30"/>
    </row>
    <row r="26" spans="1:4" ht="12.75" customHeight="1">
      <c r="A26" s="30"/>
      <c r="B26" s="30"/>
      <c r="C26" s="30"/>
    </row>
    <row r="27" spans="1:4" ht="12.75" customHeight="1">
      <c r="A27" s="30"/>
      <c r="B27" s="30"/>
      <c r="C27" s="30"/>
    </row>
    <row r="28" spans="1:4" ht="12.75" customHeight="1">
      <c r="A28" s="30"/>
      <c r="B28" s="30"/>
      <c r="C28" s="30"/>
    </row>
    <row r="29" spans="1:4" ht="12.75" customHeight="1">
      <c r="C29" s="1" t="s">
        <v>33</v>
      </c>
      <c r="D29" s="19">
        <f>SUM(D4:D28)</f>
        <v>23.5</v>
      </c>
    </row>
    <row r="30" spans="1:4" ht="12.75" customHeight="1">
      <c r="D30" s="20"/>
    </row>
  </sheetData>
  <pageMargins left="0.75" right="0.75" top="1" bottom="1" header="0.5" footer="0.5"/>
  <pageSetup paperSize="9"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sheetPr codeName="Hoja3"/>
  <dimension ref="A1:K30"/>
  <sheetViews>
    <sheetView zoomScaleNormal="100" workbookViewId="0">
      <selection activeCell="A5" sqref="A5:A8"/>
    </sheetView>
  </sheetViews>
  <sheetFormatPr baseColWidth="10" defaultColWidth="9.140625" defaultRowHeight="12.75" customHeight="1"/>
  <cols>
    <col min="1" max="1" width="12.140625" customWidth="1"/>
    <col min="2" max="2" width="18.85546875" customWidth="1"/>
    <col min="3" max="3" width="52" customWidth="1"/>
    <col min="4" max="4" width="10.85546875" style="22" customWidth="1"/>
    <col min="5" max="5" width="16.7109375" customWidth="1"/>
    <col min="6" max="6" width="12" bestFit="1" customWidth="1"/>
    <col min="7" max="11" width="10.85546875" customWidth="1"/>
  </cols>
  <sheetData>
    <row r="1" spans="1:11" ht="12.75" customHeight="1">
      <c r="A1" s="1" t="s">
        <v>13</v>
      </c>
      <c r="B1" s="8">
        <v>2</v>
      </c>
      <c r="C1" s="1" t="s">
        <v>18</v>
      </c>
    </row>
    <row r="2" spans="1:11" ht="12.75" customHeight="1">
      <c r="A2" s="1" t="s">
        <v>30</v>
      </c>
      <c r="B2" s="3" t="s">
        <v>20</v>
      </c>
    </row>
    <row r="4" spans="1:11" ht="12.75" customHeight="1">
      <c r="A4" s="4" t="s">
        <v>41</v>
      </c>
      <c r="B4" s="4" t="s">
        <v>10</v>
      </c>
      <c r="C4" s="4" t="s">
        <v>14</v>
      </c>
      <c r="D4" s="23" t="s">
        <v>19</v>
      </c>
      <c r="E4" s="4" t="s">
        <v>5</v>
      </c>
      <c r="F4" s="5" t="s">
        <v>61</v>
      </c>
      <c r="G4" s="5" t="s">
        <v>60</v>
      </c>
      <c r="H4" s="5"/>
      <c r="I4" s="5"/>
      <c r="J4" s="5"/>
      <c r="K4" s="5"/>
    </row>
    <row r="5" spans="1:11" ht="12.75" customHeight="1">
      <c r="A5" s="28" t="s">
        <v>55</v>
      </c>
      <c r="B5" s="6" t="s">
        <v>49</v>
      </c>
      <c r="C5" s="6" t="s">
        <v>50</v>
      </c>
      <c r="D5" s="19">
        <v>10</v>
      </c>
      <c r="E5" s="7"/>
      <c r="F5" s="6" t="s">
        <v>73</v>
      </c>
      <c r="G5" s="6"/>
      <c r="H5" s="6"/>
      <c r="I5" s="6"/>
      <c r="J5" s="6"/>
      <c r="K5" s="6"/>
    </row>
    <row r="6" spans="1:11" ht="12.75" customHeight="1">
      <c r="A6" s="29" t="s">
        <v>56</v>
      </c>
      <c r="B6" s="7" t="s">
        <v>49</v>
      </c>
      <c r="C6" s="7" t="s">
        <v>51</v>
      </c>
      <c r="D6" s="19">
        <v>1</v>
      </c>
      <c r="E6" s="7"/>
      <c r="F6" t="s">
        <v>73</v>
      </c>
    </row>
    <row r="7" spans="1:11" ht="12.75" customHeight="1">
      <c r="A7" s="29" t="s">
        <v>56</v>
      </c>
      <c r="B7" s="7" t="s">
        <v>52</v>
      </c>
      <c r="C7" s="7" t="s">
        <v>53</v>
      </c>
      <c r="D7" s="19">
        <v>3</v>
      </c>
      <c r="F7" t="s">
        <v>73</v>
      </c>
    </row>
    <row r="8" spans="1:11" ht="12.75" customHeight="1">
      <c r="A8" s="29" t="s">
        <v>243</v>
      </c>
      <c r="B8" s="7" t="s">
        <v>126</v>
      </c>
      <c r="C8" s="7" t="s">
        <v>54</v>
      </c>
      <c r="D8" s="19">
        <v>12</v>
      </c>
      <c r="G8" t="s">
        <v>73</v>
      </c>
    </row>
    <row r="9" spans="1:11" ht="12.75" customHeight="1">
      <c r="A9" s="7"/>
      <c r="B9" s="7"/>
      <c r="C9" s="7"/>
      <c r="D9" s="19"/>
    </row>
    <row r="10" spans="1:11" ht="12.75" customHeight="1">
      <c r="D10" s="17"/>
    </row>
    <row r="11" spans="1:11" ht="12.75" customHeight="1">
      <c r="D11" s="17"/>
    </row>
    <row r="12" spans="1:11" ht="12.75" customHeight="1">
      <c r="D12" s="17"/>
    </row>
    <row r="13" spans="1:11" ht="12.75" customHeight="1">
      <c r="D13" s="17"/>
    </row>
    <row r="14" spans="1:11" ht="12.75" customHeight="1">
      <c r="D14" s="17"/>
    </row>
    <row r="15" spans="1:11" ht="12.75" customHeight="1">
      <c r="D15" s="17"/>
    </row>
    <row r="16" spans="1:11" ht="12.75" customHeight="1">
      <c r="D16" s="17"/>
    </row>
    <row r="17" spans="3:4" ht="12.75" customHeight="1">
      <c r="D17" s="17"/>
    </row>
    <row r="18" spans="3:4" ht="12.75" customHeight="1">
      <c r="D18" s="17"/>
    </row>
    <row r="19" spans="3:4" ht="12.75" customHeight="1">
      <c r="D19" s="17"/>
    </row>
    <row r="20" spans="3:4" ht="12.75" customHeight="1">
      <c r="D20" s="17"/>
    </row>
    <row r="21" spans="3:4" ht="12.75" customHeight="1">
      <c r="D21" s="17"/>
    </row>
    <row r="22" spans="3:4" ht="12.75" customHeight="1">
      <c r="D22" s="17"/>
    </row>
    <row r="23" spans="3:4" ht="12.75" customHeight="1">
      <c r="D23" s="17"/>
    </row>
    <row r="24" spans="3:4" ht="12.75" customHeight="1">
      <c r="D24" s="17"/>
    </row>
    <row r="25" spans="3:4" ht="12.75" customHeight="1">
      <c r="D25" s="17"/>
    </row>
    <row r="26" spans="3:4" ht="12.75" customHeight="1">
      <c r="D26" s="17"/>
    </row>
    <row r="27" spans="3:4" ht="12.75" customHeight="1">
      <c r="D27" s="17"/>
    </row>
    <row r="28" spans="3:4" ht="12.75" customHeight="1">
      <c r="D28" s="17"/>
    </row>
    <row r="29" spans="3:4" ht="12.75" customHeight="1">
      <c r="D29" s="17"/>
    </row>
    <row r="30" spans="3:4" ht="12.75" customHeight="1">
      <c r="C30" s="1" t="s">
        <v>33</v>
      </c>
      <c r="D30" s="24">
        <f>SUM(D5:D29)</f>
        <v>26</v>
      </c>
    </row>
  </sheetData>
  <pageMargins left="0.75" right="0.75" top="1" bottom="1" header="0.5" footer="0.5"/>
  <pageSetup paperSize="9"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sheetPr codeName="Hoja4"/>
  <dimension ref="A1:K30"/>
  <sheetViews>
    <sheetView zoomScaleNormal="100" workbookViewId="0">
      <selection activeCell="B16" sqref="B16"/>
    </sheetView>
  </sheetViews>
  <sheetFormatPr baseColWidth="10" defaultColWidth="9.140625" defaultRowHeight="12.75" customHeight="1"/>
  <cols>
    <col min="1" max="1" width="10.85546875" customWidth="1"/>
    <col min="2" max="2" width="21.42578125" customWidth="1"/>
    <col min="3" max="3" width="44.5703125" customWidth="1"/>
    <col min="4" max="4" width="10.85546875" style="17" customWidth="1"/>
    <col min="5" max="5" width="49.42578125" customWidth="1"/>
    <col min="6" max="6" width="12" bestFit="1" customWidth="1"/>
    <col min="7" max="11" width="10.85546875" customWidth="1"/>
  </cols>
  <sheetData>
    <row r="1" spans="1:11" ht="12.75" customHeight="1">
      <c r="A1" s="1" t="s">
        <v>13</v>
      </c>
      <c r="B1" s="8">
        <v>2</v>
      </c>
      <c r="C1" s="1" t="s">
        <v>18</v>
      </c>
    </row>
    <row r="2" spans="1:11" ht="12.75" customHeight="1">
      <c r="A2" s="1" t="s">
        <v>30</v>
      </c>
      <c r="B2" s="3" t="s">
        <v>35</v>
      </c>
    </row>
    <row r="4" spans="1:11" ht="12.75" customHeight="1">
      <c r="A4" s="4" t="s">
        <v>41</v>
      </c>
      <c r="B4" s="4" t="s">
        <v>10</v>
      </c>
      <c r="C4" s="4" t="s">
        <v>14</v>
      </c>
      <c r="D4" s="18" t="s">
        <v>19</v>
      </c>
      <c r="E4" s="4" t="s">
        <v>5</v>
      </c>
      <c r="F4" s="5" t="s">
        <v>61</v>
      </c>
      <c r="G4" s="5" t="s">
        <v>60</v>
      </c>
      <c r="H4" s="5"/>
      <c r="I4" s="5"/>
      <c r="J4" s="5"/>
      <c r="K4" s="5"/>
    </row>
    <row r="5" spans="1:11" ht="12.75" customHeight="1">
      <c r="A5" s="28" t="s">
        <v>55</v>
      </c>
      <c r="B5" s="6" t="s">
        <v>49</v>
      </c>
      <c r="C5" s="6" t="s">
        <v>127</v>
      </c>
      <c r="D5" s="19">
        <v>10</v>
      </c>
      <c r="E5" s="7"/>
      <c r="F5" s="6" t="s">
        <v>73</v>
      </c>
      <c r="G5" s="6"/>
      <c r="H5" s="6"/>
      <c r="I5" s="6"/>
      <c r="J5" s="6"/>
      <c r="K5" s="6"/>
    </row>
    <row r="6" spans="1:11" ht="12.75" customHeight="1">
      <c r="A6" s="29" t="s">
        <v>242</v>
      </c>
      <c r="B6" s="7" t="s">
        <v>49</v>
      </c>
      <c r="C6" s="7" t="s">
        <v>127</v>
      </c>
      <c r="D6" s="19">
        <v>4</v>
      </c>
      <c r="E6" s="7"/>
      <c r="F6" t="s">
        <v>73</v>
      </c>
    </row>
    <row r="7" spans="1:11" ht="12.75" customHeight="1">
      <c r="A7" s="29" t="s">
        <v>111</v>
      </c>
      <c r="B7" s="7" t="s">
        <v>49</v>
      </c>
      <c r="C7" s="7" t="s">
        <v>127</v>
      </c>
      <c r="D7" s="19">
        <v>4</v>
      </c>
      <c r="F7" t="s">
        <v>73</v>
      </c>
    </row>
    <row r="8" spans="1:11" ht="12.75" customHeight="1">
      <c r="A8" s="29" t="s">
        <v>119</v>
      </c>
      <c r="B8" s="7" t="s">
        <v>87</v>
      </c>
      <c r="C8" s="7" t="s">
        <v>128</v>
      </c>
      <c r="D8" s="19">
        <v>2</v>
      </c>
      <c r="E8" s="7"/>
      <c r="F8" t="s">
        <v>73</v>
      </c>
    </row>
    <row r="9" spans="1:11" ht="12.75" customHeight="1">
      <c r="A9" s="29" t="s">
        <v>56</v>
      </c>
      <c r="B9" s="7" t="s">
        <v>49</v>
      </c>
      <c r="C9" s="7" t="s">
        <v>129</v>
      </c>
      <c r="D9" s="19">
        <v>9</v>
      </c>
      <c r="G9" t="s">
        <v>73</v>
      </c>
    </row>
    <row r="29" spans="3:4" ht="12.75" customHeight="1">
      <c r="C29" s="1" t="s">
        <v>33</v>
      </c>
      <c r="D29" s="24">
        <f>SUM(D4:D28)</f>
        <v>29</v>
      </c>
    </row>
    <row r="30" spans="3:4" ht="12.75" customHeight="1">
      <c r="D30" s="20"/>
    </row>
  </sheetData>
  <pageMargins left="0.75" right="0.75" top="1" bottom="1" header="0.5" footer="0.5"/>
  <pageSetup paperSize="9"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sheetPr codeName="Hoja5"/>
  <dimension ref="A1:K30"/>
  <sheetViews>
    <sheetView zoomScaleNormal="100" workbookViewId="0">
      <selection activeCell="A5" sqref="A5:A12"/>
    </sheetView>
  </sheetViews>
  <sheetFormatPr baseColWidth="10" defaultColWidth="9.140625" defaultRowHeight="12.75" customHeight="1"/>
  <cols>
    <col min="1" max="1" width="23" customWidth="1"/>
    <col min="2" max="2" width="18.85546875" customWidth="1"/>
    <col min="3" max="3" width="52" customWidth="1"/>
    <col min="4" max="4" width="10.85546875" style="17" customWidth="1"/>
    <col min="5" max="5" width="41" customWidth="1"/>
    <col min="6" max="6" width="12" bestFit="1" customWidth="1"/>
    <col min="7" max="7" width="10.85546875" customWidth="1"/>
    <col min="8" max="8" width="18.7109375" bestFit="1" customWidth="1"/>
    <col min="9" max="11" width="10.85546875" customWidth="1"/>
  </cols>
  <sheetData>
    <row r="1" spans="1:11" ht="12.75" customHeight="1">
      <c r="A1" s="1" t="s">
        <v>13</v>
      </c>
      <c r="B1" s="8">
        <v>2</v>
      </c>
      <c r="C1" s="1" t="s">
        <v>18</v>
      </c>
    </row>
    <row r="2" spans="1:11" ht="12.75" customHeight="1">
      <c r="A2" s="1" t="s">
        <v>30</v>
      </c>
      <c r="B2" s="3" t="s">
        <v>1</v>
      </c>
    </row>
    <row r="4" spans="1:11" ht="12.75" customHeight="1">
      <c r="A4" s="4" t="s">
        <v>41</v>
      </c>
      <c r="B4" s="4" t="s">
        <v>10</v>
      </c>
      <c r="C4" s="4" t="s">
        <v>14</v>
      </c>
      <c r="D4" s="18" t="s">
        <v>19</v>
      </c>
      <c r="E4" s="4" t="s">
        <v>5</v>
      </c>
      <c r="F4" s="5" t="s">
        <v>61</v>
      </c>
      <c r="G4" s="5" t="s">
        <v>60</v>
      </c>
      <c r="H4" s="5"/>
      <c r="I4" s="5"/>
      <c r="J4" s="5"/>
      <c r="K4" s="5"/>
    </row>
    <row r="5" spans="1:11" ht="12.75" customHeight="1">
      <c r="A5" s="28" t="s">
        <v>55</v>
      </c>
      <c r="B5" s="6" t="s">
        <v>49</v>
      </c>
      <c r="C5" s="6" t="s">
        <v>130</v>
      </c>
      <c r="D5" s="19">
        <v>4</v>
      </c>
      <c r="E5" s="7"/>
      <c r="F5" s="6" t="s">
        <v>73</v>
      </c>
      <c r="G5" s="6"/>
      <c r="H5" s="6"/>
      <c r="I5" s="6"/>
      <c r="J5" s="6"/>
      <c r="K5" s="6"/>
    </row>
    <row r="6" spans="1:11" ht="12.75" customHeight="1">
      <c r="A6" s="29" t="s">
        <v>241</v>
      </c>
      <c r="B6" s="7" t="s">
        <v>49</v>
      </c>
      <c r="C6" s="7" t="s">
        <v>131</v>
      </c>
      <c r="D6" s="19">
        <v>6</v>
      </c>
      <c r="E6" s="7"/>
      <c r="F6" t="s">
        <v>73</v>
      </c>
    </row>
    <row r="7" spans="1:11" ht="12.75" customHeight="1">
      <c r="A7" s="29" t="s">
        <v>242</v>
      </c>
      <c r="B7" s="7" t="s">
        <v>49</v>
      </c>
      <c r="C7" s="7" t="s">
        <v>132</v>
      </c>
      <c r="D7" s="19">
        <v>3</v>
      </c>
      <c r="F7" t="s">
        <v>73</v>
      </c>
    </row>
    <row r="8" spans="1:11" ht="12.75" customHeight="1">
      <c r="A8" s="29" t="s">
        <v>111</v>
      </c>
      <c r="B8" s="7" t="s">
        <v>49</v>
      </c>
      <c r="C8" s="7" t="s">
        <v>133</v>
      </c>
      <c r="D8" s="19">
        <v>4.5</v>
      </c>
      <c r="G8" t="s">
        <v>73</v>
      </c>
    </row>
    <row r="9" spans="1:11" ht="12.75" customHeight="1">
      <c r="A9" s="29" t="s">
        <v>117</v>
      </c>
      <c r="B9" s="7" t="s">
        <v>49</v>
      </c>
      <c r="C9" s="7" t="s">
        <v>133</v>
      </c>
      <c r="D9" s="19">
        <v>3</v>
      </c>
      <c r="E9" s="7"/>
      <c r="G9" t="s">
        <v>73</v>
      </c>
    </row>
    <row r="10" spans="1:11" ht="12.75" customHeight="1">
      <c r="A10" s="29" t="s">
        <v>119</v>
      </c>
      <c r="B10" s="7" t="s">
        <v>134</v>
      </c>
      <c r="C10" s="7" t="s">
        <v>135</v>
      </c>
      <c r="D10" s="19">
        <v>3</v>
      </c>
      <c r="E10" s="7"/>
      <c r="G10" t="s">
        <v>73</v>
      </c>
    </row>
    <row r="11" spans="1:11" ht="12.75" customHeight="1">
      <c r="A11" s="29" t="s">
        <v>119</v>
      </c>
      <c r="B11" s="7" t="s">
        <v>87</v>
      </c>
      <c r="C11" s="7" t="s">
        <v>128</v>
      </c>
      <c r="D11" s="19">
        <v>3</v>
      </c>
      <c r="E11" s="7"/>
      <c r="F11" t="s">
        <v>73</v>
      </c>
    </row>
    <row r="12" spans="1:11" ht="12.75" customHeight="1">
      <c r="A12" s="29" t="s">
        <v>56</v>
      </c>
      <c r="B12" s="7" t="s">
        <v>49</v>
      </c>
      <c r="C12" s="7" t="s">
        <v>136</v>
      </c>
      <c r="D12" s="19">
        <v>3.5</v>
      </c>
      <c r="E12" s="7"/>
      <c r="G12" t="s">
        <v>73</v>
      </c>
    </row>
    <row r="13" spans="1:11" ht="12.75" customHeight="1">
      <c r="A13" s="7"/>
      <c r="B13" s="7"/>
      <c r="C13" s="7"/>
      <c r="D13" s="19"/>
    </row>
    <row r="14" spans="1:11" ht="12.75" customHeight="1">
      <c r="A14" s="7"/>
      <c r="B14" s="7"/>
      <c r="C14" s="7"/>
      <c r="D14" s="19"/>
    </row>
    <row r="29" spans="3:4" ht="12.75" customHeight="1">
      <c r="C29" s="1" t="s">
        <v>33</v>
      </c>
      <c r="D29" s="24">
        <f>SUM(D4:D28)</f>
        <v>30</v>
      </c>
    </row>
    <row r="30" spans="3:4" ht="12.75" customHeight="1">
      <c r="D30" s="20"/>
    </row>
  </sheetData>
  <pageMargins left="0.75" right="0.75" top="1" bottom="1" header="0.5" footer="0.5"/>
  <pageSetup paperSize="9" orientation="portrait" horizontalDpi="300" verticalDpi="300"/>
  <headerFooter alignWithMargins="0"/>
</worksheet>
</file>

<file path=xl/worksheets/sheet6.xml><?xml version="1.0" encoding="utf-8"?>
<worksheet xmlns="http://schemas.openxmlformats.org/spreadsheetml/2006/main" xmlns:r="http://schemas.openxmlformats.org/officeDocument/2006/relationships">
  <sheetPr codeName="Hoja6"/>
  <dimension ref="A1:K30"/>
  <sheetViews>
    <sheetView zoomScaleNormal="100" workbookViewId="0">
      <selection activeCell="A5" sqref="A5:A14"/>
    </sheetView>
  </sheetViews>
  <sheetFormatPr baseColWidth="10" defaultColWidth="9.140625" defaultRowHeight="12.75" customHeight="1"/>
  <cols>
    <col min="1" max="1" width="12.140625" customWidth="1"/>
    <col min="2" max="2" width="21.42578125" customWidth="1"/>
    <col min="3" max="3" width="44.5703125" customWidth="1"/>
    <col min="4" max="4" width="12.140625" style="17" customWidth="1"/>
    <col min="5" max="5" width="74.140625" customWidth="1"/>
    <col min="6" max="6" width="10.85546875" customWidth="1"/>
    <col min="7" max="7" width="15.5703125" bestFit="1" customWidth="1"/>
    <col min="8" max="11" width="10.85546875" customWidth="1"/>
  </cols>
  <sheetData>
    <row r="1" spans="1:11" ht="12.75" customHeight="1">
      <c r="A1" s="1" t="s">
        <v>13</v>
      </c>
      <c r="B1" s="8" t="s">
        <v>4</v>
      </c>
      <c r="C1" s="1" t="s">
        <v>18</v>
      </c>
    </row>
    <row r="2" spans="1:11" ht="12.75" customHeight="1">
      <c r="A2" s="1" t="s">
        <v>30</v>
      </c>
      <c r="B2" s="3" t="s">
        <v>0</v>
      </c>
    </row>
    <row r="4" spans="1:11" ht="12.75" customHeight="1">
      <c r="A4" s="4" t="s">
        <v>41</v>
      </c>
      <c r="B4" s="4" t="s">
        <v>10</v>
      </c>
      <c r="C4" s="4" t="s">
        <v>14</v>
      </c>
      <c r="D4" s="18" t="s">
        <v>19</v>
      </c>
      <c r="E4" s="4" t="s">
        <v>5</v>
      </c>
      <c r="F4" s="5" t="s">
        <v>62</v>
      </c>
      <c r="G4" s="5" t="s">
        <v>63</v>
      </c>
      <c r="H4" s="5"/>
      <c r="I4" s="5"/>
      <c r="J4" s="5"/>
      <c r="K4" s="5"/>
    </row>
    <row r="5" spans="1:11" ht="12.75" customHeight="1">
      <c r="A5" s="28" t="s">
        <v>55</v>
      </c>
      <c r="B5" s="6" t="s">
        <v>137</v>
      </c>
      <c r="C5" s="6" t="s">
        <v>138</v>
      </c>
      <c r="D5" s="19">
        <v>6</v>
      </c>
      <c r="E5" s="7" t="s">
        <v>139</v>
      </c>
      <c r="F5" s="6" t="s">
        <v>73</v>
      </c>
      <c r="G5" s="6"/>
      <c r="H5" s="6"/>
      <c r="I5" s="6"/>
      <c r="J5" s="6"/>
      <c r="K5" s="6"/>
    </row>
    <row r="6" spans="1:11" ht="12.75" customHeight="1">
      <c r="A6" s="29" t="s">
        <v>241</v>
      </c>
      <c r="B6" s="7" t="s">
        <v>140</v>
      </c>
      <c r="C6" s="7" t="s">
        <v>141</v>
      </c>
      <c r="D6" s="19">
        <v>1</v>
      </c>
      <c r="E6" s="7" t="s">
        <v>142</v>
      </c>
      <c r="F6" t="s">
        <v>73</v>
      </c>
    </row>
    <row r="7" spans="1:11" ht="12.75" customHeight="1">
      <c r="A7" s="29" t="s">
        <v>241</v>
      </c>
      <c r="B7" s="7" t="s">
        <v>83</v>
      </c>
      <c r="C7" s="7" t="s">
        <v>143</v>
      </c>
      <c r="D7" s="19">
        <v>1</v>
      </c>
      <c r="E7" s="7" t="s">
        <v>144</v>
      </c>
      <c r="F7" t="s">
        <v>73</v>
      </c>
    </row>
    <row r="8" spans="1:11" ht="12.75" customHeight="1">
      <c r="A8" s="29" t="s">
        <v>242</v>
      </c>
      <c r="B8" s="7" t="s">
        <v>83</v>
      </c>
      <c r="C8" s="7" t="s">
        <v>145</v>
      </c>
      <c r="D8" s="19">
        <v>1.5</v>
      </c>
      <c r="E8" s="7" t="s">
        <v>146</v>
      </c>
      <c r="F8" t="s">
        <v>73</v>
      </c>
    </row>
    <row r="9" spans="1:11" ht="12.75" customHeight="1">
      <c r="A9" s="29" t="s">
        <v>111</v>
      </c>
      <c r="B9" s="7" t="s">
        <v>94</v>
      </c>
      <c r="C9" s="7" t="s">
        <v>147</v>
      </c>
      <c r="D9" s="19">
        <v>1</v>
      </c>
      <c r="E9" s="7"/>
      <c r="F9" t="s">
        <v>73</v>
      </c>
    </row>
    <row r="10" spans="1:11" ht="12.75" customHeight="1">
      <c r="A10" s="29" t="s">
        <v>111</v>
      </c>
      <c r="B10" s="7" t="s">
        <v>137</v>
      </c>
      <c r="C10" s="7" t="s">
        <v>148</v>
      </c>
      <c r="D10" s="19">
        <v>2.5</v>
      </c>
      <c r="E10" s="7" t="s">
        <v>149</v>
      </c>
      <c r="F10" t="s">
        <v>73</v>
      </c>
    </row>
    <row r="11" spans="1:11" ht="12.75" customHeight="1">
      <c r="A11" s="29" t="s">
        <v>117</v>
      </c>
      <c r="B11" s="7" t="s">
        <v>137</v>
      </c>
      <c r="C11" s="7" t="s">
        <v>150</v>
      </c>
      <c r="D11" s="19">
        <v>1.5</v>
      </c>
      <c r="E11" s="7" t="s">
        <v>151</v>
      </c>
      <c r="F11" t="s">
        <v>73</v>
      </c>
    </row>
    <row r="12" spans="1:11" ht="12.75" customHeight="1">
      <c r="A12" s="29" t="s">
        <v>119</v>
      </c>
      <c r="B12" s="7"/>
      <c r="C12" s="7" t="s">
        <v>53</v>
      </c>
      <c r="D12" s="19">
        <v>2</v>
      </c>
      <c r="F12" t="s">
        <v>73</v>
      </c>
    </row>
    <row r="13" spans="1:11" ht="12.75" customHeight="1">
      <c r="A13" s="30" t="s">
        <v>119</v>
      </c>
      <c r="B13" t="s">
        <v>137</v>
      </c>
      <c r="C13" t="s">
        <v>152</v>
      </c>
      <c r="D13" s="17">
        <v>2</v>
      </c>
      <c r="F13" t="s">
        <v>73</v>
      </c>
    </row>
    <row r="14" spans="1:11" ht="12.75" customHeight="1">
      <c r="A14" s="30" t="s">
        <v>56</v>
      </c>
      <c r="B14" t="s">
        <v>137</v>
      </c>
      <c r="C14" t="s">
        <v>152</v>
      </c>
      <c r="D14" s="17">
        <v>3</v>
      </c>
      <c r="F14" t="s">
        <v>73</v>
      </c>
    </row>
    <row r="29" spans="3:4" ht="12.75" customHeight="1">
      <c r="C29" s="1" t="s">
        <v>33</v>
      </c>
      <c r="D29" s="24">
        <f>SUM(D4:D28)</f>
        <v>21.5</v>
      </c>
    </row>
    <row r="30" spans="3:4" ht="12.75" customHeight="1">
      <c r="D30" s="20"/>
    </row>
  </sheetData>
  <pageMargins left="0.75" right="0.75" top="1" bottom="1" header="0.5" footer="0.5"/>
  <pageSetup paperSize="9" orientation="portrait" horizontalDpi="300" verticalDpi="300"/>
  <headerFooter alignWithMargins="0"/>
</worksheet>
</file>

<file path=xl/worksheets/sheet7.xml><?xml version="1.0" encoding="utf-8"?>
<worksheet xmlns="http://schemas.openxmlformats.org/spreadsheetml/2006/main" xmlns:r="http://schemas.openxmlformats.org/officeDocument/2006/relationships">
  <sheetPr codeName="Hoja7"/>
  <dimension ref="A1:K30"/>
  <sheetViews>
    <sheetView zoomScaleNormal="100" workbookViewId="0">
      <selection activeCell="A5" sqref="A5:A15"/>
    </sheetView>
  </sheetViews>
  <sheetFormatPr baseColWidth="10" defaultColWidth="9.140625" defaultRowHeight="12.75" customHeight="1"/>
  <cols>
    <col min="1" max="1" width="10.85546875" customWidth="1"/>
    <col min="2" max="2" width="21.42578125" customWidth="1"/>
    <col min="3" max="3" width="44.5703125" customWidth="1"/>
    <col min="4" max="4" width="7.7109375" style="17" customWidth="1"/>
    <col min="5" max="5" width="74.140625" customWidth="1"/>
    <col min="6" max="6" width="9.42578125" bestFit="1" customWidth="1"/>
    <col min="7" max="7" width="10.85546875" customWidth="1"/>
    <col min="8" max="8" width="15.5703125" bestFit="1" customWidth="1"/>
    <col min="9" max="11" width="10.85546875" customWidth="1"/>
  </cols>
  <sheetData>
    <row r="1" spans="1:11" ht="12.75" customHeight="1">
      <c r="A1" s="1" t="s">
        <v>13</v>
      </c>
      <c r="B1" s="3" t="s">
        <v>4</v>
      </c>
      <c r="C1" s="1" t="s">
        <v>18</v>
      </c>
    </row>
    <row r="2" spans="1:11" ht="12.75" customHeight="1">
      <c r="A2" s="1" t="s">
        <v>30</v>
      </c>
      <c r="B2" s="3" t="s">
        <v>29</v>
      </c>
    </row>
    <row r="4" spans="1:11" ht="12.75" customHeight="1">
      <c r="A4" s="4" t="s">
        <v>41</v>
      </c>
      <c r="B4" s="4" t="s">
        <v>10</v>
      </c>
      <c r="C4" s="4" t="s">
        <v>14</v>
      </c>
      <c r="D4" s="18" t="s">
        <v>19</v>
      </c>
      <c r="E4" s="31" t="s">
        <v>5</v>
      </c>
      <c r="F4" s="3" t="s">
        <v>59</v>
      </c>
      <c r="G4" s="3" t="s">
        <v>64</v>
      </c>
      <c r="H4" s="3" t="s">
        <v>63</v>
      </c>
      <c r="I4" s="3"/>
      <c r="J4" s="3"/>
      <c r="K4" s="3"/>
    </row>
    <row r="5" spans="1:11" ht="12.75" customHeight="1">
      <c r="A5" s="28" t="s">
        <v>55</v>
      </c>
      <c r="B5" s="6" t="s">
        <v>49</v>
      </c>
      <c r="C5" s="6" t="s">
        <v>104</v>
      </c>
      <c r="D5" s="19">
        <v>5</v>
      </c>
      <c r="E5" s="7" t="s">
        <v>153</v>
      </c>
      <c r="F5" s="6"/>
      <c r="G5" s="6" t="s">
        <v>73</v>
      </c>
      <c r="H5" s="32"/>
    </row>
    <row r="6" spans="1:11" ht="12.75" customHeight="1">
      <c r="A6" s="29" t="s">
        <v>241</v>
      </c>
      <c r="B6" s="7" t="s">
        <v>49</v>
      </c>
      <c r="C6" s="7" t="s">
        <v>104</v>
      </c>
      <c r="D6" s="19">
        <v>2</v>
      </c>
      <c r="E6" s="7" t="s">
        <v>154</v>
      </c>
      <c r="G6" t="s">
        <v>73</v>
      </c>
    </row>
    <row r="7" spans="1:11" ht="12.75" customHeight="1">
      <c r="A7" s="29" t="s">
        <v>241</v>
      </c>
      <c r="B7" s="7" t="s">
        <v>74</v>
      </c>
      <c r="C7" s="7" t="s">
        <v>155</v>
      </c>
      <c r="D7" s="19">
        <v>1</v>
      </c>
      <c r="E7" s="7" t="s">
        <v>156</v>
      </c>
      <c r="G7" t="s">
        <v>73</v>
      </c>
    </row>
    <row r="8" spans="1:11" ht="12.75" customHeight="1">
      <c r="A8" s="29" t="s">
        <v>241</v>
      </c>
      <c r="B8" s="7"/>
      <c r="C8" s="7" t="s">
        <v>157</v>
      </c>
      <c r="D8" s="19">
        <v>2</v>
      </c>
      <c r="E8" s="7" t="s">
        <v>158</v>
      </c>
      <c r="G8" t="s">
        <v>73</v>
      </c>
    </row>
    <row r="9" spans="1:11" ht="12.75" customHeight="1">
      <c r="A9" s="29" t="s">
        <v>242</v>
      </c>
      <c r="B9" s="7"/>
      <c r="C9" s="7"/>
      <c r="D9" s="19"/>
      <c r="E9" s="7"/>
      <c r="G9" t="s">
        <v>73</v>
      </c>
    </row>
    <row r="10" spans="1:11" ht="12.75" customHeight="1">
      <c r="A10" s="29" t="s">
        <v>111</v>
      </c>
      <c r="B10" s="7"/>
      <c r="C10" s="7"/>
      <c r="D10" s="19">
        <v>1</v>
      </c>
      <c r="E10" s="7" t="s">
        <v>159</v>
      </c>
      <c r="G10" t="s">
        <v>73</v>
      </c>
    </row>
    <row r="11" spans="1:11" ht="12.75" customHeight="1">
      <c r="A11" s="29" t="s">
        <v>111</v>
      </c>
      <c r="B11" s="7"/>
      <c r="C11" s="7"/>
      <c r="D11" s="19">
        <v>2</v>
      </c>
      <c r="E11" s="7" t="s">
        <v>160</v>
      </c>
      <c r="G11" t="s">
        <v>73</v>
      </c>
    </row>
    <row r="12" spans="1:11" ht="12.75" customHeight="1">
      <c r="A12" s="30" t="s">
        <v>111</v>
      </c>
      <c r="D12" s="17">
        <v>3</v>
      </c>
      <c r="E12" t="s">
        <v>161</v>
      </c>
      <c r="G12" t="s">
        <v>73</v>
      </c>
    </row>
    <row r="13" spans="1:11" ht="12.75" customHeight="1">
      <c r="A13" s="30" t="s">
        <v>117</v>
      </c>
      <c r="D13" s="17">
        <v>1</v>
      </c>
      <c r="E13" t="s">
        <v>162</v>
      </c>
      <c r="G13" t="s">
        <v>73</v>
      </c>
    </row>
    <row r="14" spans="1:11" ht="12.75" customHeight="1">
      <c r="A14" s="30" t="s">
        <v>119</v>
      </c>
      <c r="B14" t="s">
        <v>74</v>
      </c>
      <c r="D14" s="17">
        <v>3</v>
      </c>
      <c r="E14" t="s">
        <v>163</v>
      </c>
      <c r="G14" t="s">
        <v>73</v>
      </c>
    </row>
    <row r="15" spans="1:11" ht="12.75" customHeight="1">
      <c r="A15" s="30" t="s">
        <v>56</v>
      </c>
      <c r="B15" t="s">
        <v>49</v>
      </c>
      <c r="C15" t="s">
        <v>104</v>
      </c>
      <c r="D15" s="17">
        <v>2</v>
      </c>
      <c r="E15" t="s">
        <v>164</v>
      </c>
    </row>
    <row r="29" spans="3:4" ht="12.75" customHeight="1">
      <c r="C29" s="1" t="s">
        <v>33</v>
      </c>
      <c r="D29" s="24">
        <f>SUM(D4:D28)</f>
        <v>22</v>
      </c>
    </row>
    <row r="30" spans="3:4" ht="12.75" customHeight="1">
      <c r="D30" s="20"/>
    </row>
  </sheetData>
  <pageMargins left="0.75" right="0.75" top="1" bottom="1" header="0.5" footer="0.5"/>
  <pageSetup paperSize="9"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sheetPr codeName="Hoja8"/>
  <dimension ref="A1:K30"/>
  <sheetViews>
    <sheetView zoomScaleNormal="100" workbookViewId="0">
      <selection activeCell="A5" sqref="A5:A17"/>
    </sheetView>
  </sheetViews>
  <sheetFormatPr baseColWidth="10" defaultColWidth="9.140625" defaultRowHeight="12.75" customHeight="1"/>
  <cols>
    <col min="1" max="1" width="12.140625" customWidth="1"/>
    <col min="2" max="2" width="18.85546875" customWidth="1"/>
    <col min="3" max="3" width="52" customWidth="1"/>
    <col min="4" max="4" width="10.85546875" style="17" customWidth="1"/>
    <col min="5" max="5" width="74.42578125" customWidth="1"/>
    <col min="6" max="6" width="14.7109375" bestFit="1" customWidth="1"/>
    <col min="7" max="7" width="15.5703125" bestFit="1" customWidth="1"/>
    <col min="8" max="11" width="10.85546875" customWidth="1"/>
  </cols>
  <sheetData>
    <row r="1" spans="1:11" ht="12.75" customHeight="1">
      <c r="A1" s="1" t="s">
        <v>13</v>
      </c>
      <c r="B1" s="3" t="s">
        <v>4</v>
      </c>
      <c r="C1" s="1" t="s">
        <v>18</v>
      </c>
    </row>
    <row r="2" spans="1:11" ht="12.75" customHeight="1">
      <c r="A2" s="1" t="s">
        <v>30</v>
      </c>
      <c r="B2" s="3" t="s">
        <v>11</v>
      </c>
    </row>
    <row r="4" spans="1:11" ht="12.75" customHeight="1">
      <c r="A4" s="4" t="s">
        <v>41</v>
      </c>
      <c r="B4" s="4" t="s">
        <v>10</v>
      </c>
      <c r="C4" s="4" t="s">
        <v>14</v>
      </c>
      <c r="D4" s="18" t="s">
        <v>19</v>
      </c>
      <c r="E4" s="4" t="s">
        <v>5</v>
      </c>
      <c r="F4" s="5" t="s">
        <v>65</v>
      </c>
      <c r="G4" s="5" t="s">
        <v>63</v>
      </c>
      <c r="H4" s="5" t="s">
        <v>66</v>
      </c>
      <c r="I4" s="5"/>
      <c r="J4" s="5"/>
      <c r="K4" s="5"/>
    </row>
    <row r="5" spans="1:11" ht="12.75" customHeight="1">
      <c r="A5" s="28" t="s">
        <v>55</v>
      </c>
      <c r="B5" s="6" t="s">
        <v>165</v>
      </c>
      <c r="C5" s="6" t="s">
        <v>166</v>
      </c>
      <c r="D5" s="19">
        <v>2</v>
      </c>
      <c r="E5" s="7" t="s">
        <v>167</v>
      </c>
      <c r="F5" s="6" t="s">
        <v>73</v>
      </c>
      <c r="G5" s="6"/>
      <c r="H5" s="6"/>
      <c r="I5" s="6"/>
      <c r="J5" s="6"/>
      <c r="K5" s="6"/>
    </row>
    <row r="6" spans="1:11">
      <c r="A6" s="29" t="s">
        <v>55</v>
      </c>
      <c r="B6" s="7" t="s">
        <v>168</v>
      </c>
      <c r="C6" s="7" t="s">
        <v>169</v>
      </c>
      <c r="D6" s="19">
        <v>1</v>
      </c>
      <c r="E6" s="7" t="s">
        <v>170</v>
      </c>
      <c r="F6" t="s">
        <v>73</v>
      </c>
    </row>
    <row r="7" spans="1:11" ht="12.75" customHeight="1">
      <c r="A7" s="29" t="s">
        <v>55</v>
      </c>
      <c r="B7" s="7" t="s">
        <v>171</v>
      </c>
      <c r="C7" s="7" t="s">
        <v>172</v>
      </c>
      <c r="D7" s="19">
        <v>1</v>
      </c>
      <c r="E7" s="7" t="s">
        <v>173</v>
      </c>
      <c r="F7" t="s">
        <v>73</v>
      </c>
    </row>
    <row r="8" spans="1:11" ht="12.75" customHeight="1">
      <c r="A8" s="29" t="s">
        <v>241</v>
      </c>
      <c r="B8" s="7" t="s">
        <v>74</v>
      </c>
      <c r="C8" s="7" t="s">
        <v>174</v>
      </c>
      <c r="D8" s="19">
        <v>1</v>
      </c>
      <c r="E8" s="7" t="s">
        <v>175</v>
      </c>
      <c r="H8" t="s">
        <v>73</v>
      </c>
    </row>
    <row r="9" spans="1:11" ht="12.75" customHeight="1">
      <c r="A9" s="29" t="s">
        <v>241</v>
      </c>
      <c r="B9" s="7" t="s">
        <v>94</v>
      </c>
      <c r="C9" s="7" t="s">
        <v>176</v>
      </c>
      <c r="D9" s="19">
        <v>1</v>
      </c>
      <c r="E9" s="7" t="s">
        <v>177</v>
      </c>
      <c r="F9" t="s">
        <v>73</v>
      </c>
    </row>
    <row r="10" spans="1:11" ht="12.75" customHeight="1">
      <c r="A10" s="29" t="s">
        <v>242</v>
      </c>
      <c r="B10" s="7" t="s">
        <v>83</v>
      </c>
      <c r="C10" s="7" t="s">
        <v>124</v>
      </c>
      <c r="D10" s="19">
        <v>2</v>
      </c>
      <c r="E10" s="7" t="s">
        <v>178</v>
      </c>
      <c r="F10" t="s">
        <v>73</v>
      </c>
    </row>
    <row r="11" spans="1:11" ht="12.75" customHeight="1">
      <c r="A11" s="29" t="s">
        <v>242</v>
      </c>
      <c r="B11" s="7" t="s">
        <v>179</v>
      </c>
      <c r="C11" s="7" t="s">
        <v>180</v>
      </c>
      <c r="D11" s="19">
        <v>1</v>
      </c>
      <c r="E11" s="7" t="s">
        <v>181</v>
      </c>
      <c r="H11" t="s">
        <v>73</v>
      </c>
    </row>
    <row r="12" spans="1:11" ht="12.75" customHeight="1">
      <c r="A12" s="29" t="s">
        <v>111</v>
      </c>
      <c r="B12" s="7" t="s">
        <v>94</v>
      </c>
      <c r="C12" s="7" t="s">
        <v>182</v>
      </c>
      <c r="D12" s="19">
        <v>1</v>
      </c>
      <c r="E12" s="7" t="s">
        <v>183</v>
      </c>
      <c r="F12" t="s">
        <v>73</v>
      </c>
    </row>
    <row r="13" spans="1:11" ht="12.75" customHeight="1">
      <c r="A13" s="29" t="s">
        <v>111</v>
      </c>
      <c r="B13" s="7" t="s">
        <v>74</v>
      </c>
      <c r="C13" s="7" t="s">
        <v>174</v>
      </c>
      <c r="D13" s="19">
        <v>2</v>
      </c>
      <c r="E13" s="7" t="s">
        <v>184</v>
      </c>
      <c r="F13" t="s">
        <v>73</v>
      </c>
    </row>
    <row r="14" spans="1:11" ht="12.75" customHeight="1">
      <c r="A14" s="29" t="s">
        <v>117</v>
      </c>
      <c r="B14" s="7" t="s">
        <v>74</v>
      </c>
      <c r="C14" s="7" t="s">
        <v>174</v>
      </c>
      <c r="D14" s="19">
        <v>2</v>
      </c>
      <c r="E14" s="7" t="s">
        <v>184</v>
      </c>
      <c r="F14" t="s">
        <v>73</v>
      </c>
    </row>
    <row r="15" spans="1:11" ht="12.75" customHeight="1">
      <c r="A15" s="29" t="s">
        <v>119</v>
      </c>
      <c r="B15" s="7" t="s">
        <v>87</v>
      </c>
      <c r="C15" s="7" t="s">
        <v>185</v>
      </c>
      <c r="D15" s="19">
        <v>5</v>
      </c>
      <c r="E15" s="7" t="s">
        <v>186</v>
      </c>
      <c r="F15" t="s">
        <v>73</v>
      </c>
    </row>
    <row r="16" spans="1:11" ht="12.75" customHeight="1">
      <c r="A16" s="30" t="s">
        <v>56</v>
      </c>
      <c r="B16" t="s">
        <v>187</v>
      </c>
      <c r="C16" t="s">
        <v>188</v>
      </c>
      <c r="D16" s="17">
        <v>1</v>
      </c>
      <c r="E16" t="s">
        <v>189</v>
      </c>
      <c r="F16" t="s">
        <v>73</v>
      </c>
    </row>
    <row r="17" spans="1:6" ht="12.75" customHeight="1">
      <c r="A17" s="30" t="s">
        <v>56</v>
      </c>
      <c r="B17" t="s">
        <v>190</v>
      </c>
      <c r="C17" t="s">
        <v>191</v>
      </c>
      <c r="D17" s="17">
        <v>2</v>
      </c>
      <c r="E17" t="s">
        <v>192</v>
      </c>
      <c r="F17" t="s">
        <v>73</v>
      </c>
    </row>
    <row r="29" spans="1:6" ht="12.75" customHeight="1">
      <c r="C29" s="1" t="s">
        <v>33</v>
      </c>
      <c r="D29" s="24">
        <f>SUM(D4:D28)</f>
        <v>22</v>
      </c>
    </row>
    <row r="30" spans="1:6" ht="12.75" customHeight="1">
      <c r="D30" s="20"/>
    </row>
  </sheetData>
  <pageMargins left="0.75" right="0.75" top="1" bottom="1" header="0.5" footer="0.5"/>
  <pageSetup paperSize="9" orientation="portrait" horizontalDpi="300" verticalDpi="300"/>
  <headerFooter alignWithMargins="0"/>
</worksheet>
</file>

<file path=xl/worksheets/sheet9.xml><?xml version="1.0" encoding="utf-8"?>
<worksheet xmlns="http://schemas.openxmlformats.org/spreadsheetml/2006/main" xmlns:r="http://schemas.openxmlformats.org/officeDocument/2006/relationships">
  <sheetPr codeName="Hoja9"/>
  <dimension ref="A1:K31"/>
  <sheetViews>
    <sheetView zoomScaleNormal="100" workbookViewId="0">
      <selection activeCell="A5" sqref="A5:A17"/>
    </sheetView>
  </sheetViews>
  <sheetFormatPr baseColWidth="10" defaultColWidth="9.140625" defaultRowHeight="12.75" customHeight="1"/>
  <cols>
    <col min="1" max="1" width="12.140625" customWidth="1"/>
    <col min="2" max="2" width="18.85546875" customWidth="1"/>
    <col min="3" max="3" width="52" customWidth="1"/>
    <col min="4" max="4" width="11.42578125" style="17" customWidth="1"/>
    <col min="5" max="5" width="56.28515625" customWidth="1"/>
    <col min="6" max="11" width="11.42578125" customWidth="1"/>
  </cols>
  <sheetData>
    <row r="1" spans="1:11" ht="12.75" customHeight="1">
      <c r="A1" s="1" t="s">
        <v>13</v>
      </c>
      <c r="B1" s="8">
        <v>2</v>
      </c>
      <c r="C1" s="1" t="s">
        <v>18</v>
      </c>
    </row>
    <row r="2" spans="1:11" ht="12.75" customHeight="1">
      <c r="A2" s="1" t="s">
        <v>30</v>
      </c>
      <c r="B2" s="3" t="s">
        <v>24</v>
      </c>
    </row>
    <row r="4" spans="1:11" ht="12.75" customHeight="1">
      <c r="A4" s="4" t="s">
        <v>41</v>
      </c>
      <c r="B4" s="4" t="s">
        <v>10</v>
      </c>
      <c r="C4" s="4" t="s">
        <v>14</v>
      </c>
      <c r="D4" s="18" t="s">
        <v>19</v>
      </c>
      <c r="E4" s="4" t="s">
        <v>5</v>
      </c>
      <c r="F4" s="5" t="s">
        <v>59</v>
      </c>
      <c r="G4" s="5" t="s">
        <v>67</v>
      </c>
      <c r="H4" s="5" t="s">
        <v>60</v>
      </c>
      <c r="I4" s="5"/>
      <c r="J4" s="5"/>
      <c r="K4" s="5"/>
    </row>
    <row r="5" spans="1:11" ht="12.75" customHeight="1">
      <c r="A5" s="28" t="s">
        <v>55</v>
      </c>
      <c r="B5" s="6" t="s">
        <v>49</v>
      </c>
      <c r="C5" s="6" t="s">
        <v>104</v>
      </c>
      <c r="D5" s="19" t="s">
        <v>193</v>
      </c>
      <c r="E5" s="7" t="s">
        <v>153</v>
      </c>
      <c r="F5" s="6"/>
      <c r="G5" s="6" t="s">
        <v>73</v>
      </c>
      <c r="H5" s="6"/>
      <c r="I5" s="6"/>
      <c r="J5" s="6"/>
      <c r="K5" s="6"/>
    </row>
    <row r="6" spans="1:11" ht="12.75" customHeight="1">
      <c r="A6" s="29" t="s">
        <v>241</v>
      </c>
      <c r="B6" s="7" t="s">
        <v>49</v>
      </c>
      <c r="C6" s="7" t="s">
        <v>104</v>
      </c>
      <c r="D6" s="19">
        <v>2</v>
      </c>
      <c r="E6" s="7" t="s">
        <v>154</v>
      </c>
      <c r="G6" t="s">
        <v>73</v>
      </c>
    </row>
    <row r="7" spans="1:11" ht="12.75" customHeight="1">
      <c r="A7" s="29" t="s">
        <v>241</v>
      </c>
      <c r="B7" s="7" t="s">
        <v>74</v>
      </c>
      <c r="C7" s="7" t="s">
        <v>155</v>
      </c>
      <c r="D7" s="19">
        <v>1</v>
      </c>
      <c r="E7" s="7" t="s">
        <v>156</v>
      </c>
      <c r="G7" t="s">
        <v>73</v>
      </c>
    </row>
    <row r="8" spans="1:11" ht="12.75" customHeight="1">
      <c r="A8" s="29" t="s">
        <v>241</v>
      </c>
      <c r="B8" s="7" t="s">
        <v>49</v>
      </c>
      <c r="C8" s="7" t="s">
        <v>157</v>
      </c>
      <c r="D8" s="19">
        <v>4</v>
      </c>
      <c r="E8" s="7" t="s">
        <v>158</v>
      </c>
      <c r="H8" t="s">
        <v>73</v>
      </c>
    </row>
    <row r="9" spans="1:11" ht="12.75" customHeight="1">
      <c r="A9" s="29" t="s">
        <v>242</v>
      </c>
      <c r="B9" s="7" t="s">
        <v>83</v>
      </c>
      <c r="C9" s="7" t="s">
        <v>155</v>
      </c>
      <c r="D9" s="19">
        <v>0.5</v>
      </c>
      <c r="E9" s="7" t="s">
        <v>194</v>
      </c>
      <c r="G9" t="s">
        <v>73</v>
      </c>
    </row>
    <row r="10" spans="1:11" ht="12.75" customHeight="1">
      <c r="A10" s="29" t="s">
        <v>242</v>
      </c>
      <c r="B10" s="7" t="s">
        <v>94</v>
      </c>
      <c r="C10" s="7" t="s">
        <v>195</v>
      </c>
      <c r="D10" s="19">
        <v>0.5</v>
      </c>
      <c r="E10" s="7" t="s">
        <v>196</v>
      </c>
      <c r="G10" t="s">
        <v>73</v>
      </c>
    </row>
    <row r="11" spans="1:11" ht="12.75" customHeight="1">
      <c r="A11" s="29" t="s">
        <v>111</v>
      </c>
      <c r="B11" s="7" t="s">
        <v>197</v>
      </c>
      <c r="C11" s="7"/>
      <c r="D11" s="19">
        <v>1</v>
      </c>
      <c r="E11" s="7" t="s">
        <v>198</v>
      </c>
      <c r="G11" t="s">
        <v>73</v>
      </c>
    </row>
    <row r="12" spans="1:11" ht="12.75" customHeight="1">
      <c r="A12" s="29" t="s">
        <v>111</v>
      </c>
      <c r="B12" s="7" t="s">
        <v>197</v>
      </c>
      <c r="C12" s="7"/>
      <c r="D12" s="19">
        <v>2</v>
      </c>
      <c r="E12" s="7" t="s">
        <v>160</v>
      </c>
      <c r="G12" t="s">
        <v>73</v>
      </c>
    </row>
    <row r="13" spans="1:11" ht="12.75" customHeight="1">
      <c r="A13" s="30" t="s">
        <v>111</v>
      </c>
      <c r="B13" t="s">
        <v>197</v>
      </c>
      <c r="D13" s="17">
        <v>2</v>
      </c>
      <c r="E13" t="s">
        <v>199</v>
      </c>
      <c r="H13" t="s">
        <v>73</v>
      </c>
    </row>
    <row r="14" spans="1:11" ht="12.75" customHeight="1">
      <c r="A14" s="30" t="s">
        <v>117</v>
      </c>
      <c r="B14" t="s">
        <v>197</v>
      </c>
      <c r="D14" s="17">
        <v>1</v>
      </c>
      <c r="E14" t="s">
        <v>162</v>
      </c>
      <c r="G14" t="s">
        <v>73</v>
      </c>
    </row>
    <row r="15" spans="1:11" ht="12.75" customHeight="1">
      <c r="A15" s="30" t="s">
        <v>117</v>
      </c>
      <c r="B15" t="s">
        <v>197</v>
      </c>
      <c r="D15" s="17">
        <v>3</v>
      </c>
      <c r="E15" t="s">
        <v>200</v>
      </c>
      <c r="H15" t="s">
        <v>73</v>
      </c>
    </row>
    <row r="16" spans="1:11" ht="12.75" customHeight="1">
      <c r="A16" s="30" t="s">
        <v>119</v>
      </c>
      <c r="B16" t="s">
        <v>197</v>
      </c>
      <c r="D16" s="17">
        <v>1.5</v>
      </c>
      <c r="E16" t="s">
        <v>201</v>
      </c>
      <c r="G16" t="s">
        <v>73</v>
      </c>
    </row>
    <row r="17" spans="1:7" ht="12.75" customHeight="1">
      <c r="A17" s="30" t="s">
        <v>119</v>
      </c>
      <c r="B17" t="s">
        <v>87</v>
      </c>
      <c r="C17" t="s">
        <v>185</v>
      </c>
      <c r="D17" s="17">
        <v>2</v>
      </c>
      <c r="G17" t="s">
        <v>73</v>
      </c>
    </row>
    <row r="30" spans="1:7" ht="12.75" customHeight="1">
      <c r="C30" s="1" t="s">
        <v>33</v>
      </c>
      <c r="D30" s="24">
        <f>SUM(D5:D29)</f>
        <v>20.5</v>
      </c>
    </row>
    <row r="31" spans="1:7" ht="12.75" customHeight="1">
      <c r="D31" s="20"/>
    </row>
  </sheetData>
  <pageMargins left="0.75" right="0.75" top="1" bottom="1" header="0.5" footer="0.5"/>
  <pageSetup paperSize="9" orientation="portrait" horizontalDpi="300" verticalDpi="300"/>
  <headerFooter alignWithMargins="0"/>
</worksheet>
</file>

<file path=xl/worksheets/sheet10.xml><?xml version="1.0" encoding="utf-8"?>
<worksheet xmlns="http://schemas.openxmlformats.org/spreadsheetml/2006/main" xmlns:r="http://schemas.openxmlformats.org/officeDocument/2006/relationships">
  <sheetPr codeName="Hoja10"/>
  <dimension ref="A1:K30"/>
  <sheetViews>
    <sheetView zoomScaleNormal="100" workbookViewId="0">
      <selection activeCell="A5" sqref="A5:A16"/>
    </sheetView>
  </sheetViews>
  <sheetFormatPr baseColWidth="10" defaultColWidth="9.140625" defaultRowHeight="12.75" customHeight="1"/>
  <cols>
    <col min="1" max="1" width="12.140625" customWidth="1"/>
    <col min="2" max="2" width="21.42578125" customWidth="1"/>
    <col min="3" max="3" width="44.5703125" customWidth="1"/>
    <col min="4" max="4" width="10.85546875" style="17" customWidth="1"/>
    <col min="5" max="5" width="74.140625" customWidth="1"/>
    <col min="6" max="6" width="10.85546875" customWidth="1"/>
    <col min="7" max="7" width="18.7109375" bestFit="1" customWidth="1"/>
    <col min="8" max="11" width="10.85546875" customWidth="1"/>
  </cols>
  <sheetData>
    <row r="1" spans="1:11" ht="12.75" customHeight="1">
      <c r="A1" s="1" t="s">
        <v>13</v>
      </c>
      <c r="B1" s="8">
        <v>2</v>
      </c>
      <c r="C1" s="1" t="s">
        <v>18</v>
      </c>
    </row>
    <row r="2" spans="1:11" ht="12.75" customHeight="1">
      <c r="A2" s="1" t="s">
        <v>30</v>
      </c>
      <c r="B2" s="3" t="s">
        <v>12</v>
      </c>
    </row>
    <row r="4" spans="1:11" ht="12.75" customHeight="1">
      <c r="A4" s="4" t="s">
        <v>41</v>
      </c>
      <c r="B4" s="4" t="s">
        <v>10</v>
      </c>
      <c r="C4" s="4" t="s">
        <v>14</v>
      </c>
      <c r="D4" s="18" t="s">
        <v>19</v>
      </c>
      <c r="E4" s="4" t="s">
        <v>5</v>
      </c>
      <c r="F4" s="5" t="s">
        <v>68</v>
      </c>
      <c r="G4" s="5" t="s">
        <v>69</v>
      </c>
      <c r="H4" s="5" t="s">
        <v>70</v>
      </c>
      <c r="I4" s="5"/>
      <c r="J4" s="5"/>
      <c r="K4" s="5"/>
    </row>
    <row r="5" spans="1:11" ht="12.75" customHeight="1">
      <c r="A5" s="28" t="s">
        <v>241</v>
      </c>
      <c r="B5" s="6" t="s">
        <v>83</v>
      </c>
      <c r="C5" s="6" t="s">
        <v>202</v>
      </c>
      <c r="D5" s="19" t="s">
        <v>203</v>
      </c>
      <c r="E5" s="7" t="s">
        <v>204</v>
      </c>
      <c r="F5" s="6" t="s">
        <v>73</v>
      </c>
      <c r="G5" s="6"/>
      <c r="H5" s="6"/>
      <c r="I5" s="6"/>
      <c r="J5" s="6"/>
      <c r="K5" s="6"/>
    </row>
    <row r="6" spans="1:11" ht="12.75" customHeight="1">
      <c r="A6" s="29" t="s">
        <v>242</v>
      </c>
      <c r="B6" s="7" t="s">
        <v>83</v>
      </c>
      <c r="C6" s="7" t="s">
        <v>205</v>
      </c>
      <c r="D6" s="19">
        <v>1</v>
      </c>
      <c r="E6" s="7" t="s">
        <v>206</v>
      </c>
      <c r="F6" t="s">
        <v>73</v>
      </c>
    </row>
    <row r="7" spans="1:11" ht="12.75" customHeight="1">
      <c r="A7" s="29" t="s">
        <v>242</v>
      </c>
      <c r="B7" s="7" t="s">
        <v>83</v>
      </c>
      <c r="C7" s="7" t="s">
        <v>207</v>
      </c>
      <c r="D7" s="19">
        <v>1</v>
      </c>
      <c r="E7" s="7" t="s">
        <v>208</v>
      </c>
    </row>
    <row r="8" spans="1:11" ht="12.75" customHeight="1">
      <c r="A8" s="29" t="s">
        <v>111</v>
      </c>
      <c r="B8" s="7" t="s">
        <v>209</v>
      </c>
      <c r="C8" s="7" t="s">
        <v>210</v>
      </c>
      <c r="D8" s="19">
        <v>1</v>
      </c>
      <c r="E8" s="7" t="s">
        <v>211</v>
      </c>
      <c r="F8" t="s">
        <v>73</v>
      </c>
    </row>
    <row r="9" spans="1:11" ht="12.75" customHeight="1">
      <c r="A9" s="29" t="s">
        <v>111</v>
      </c>
      <c r="B9" s="7" t="s">
        <v>94</v>
      </c>
      <c r="C9" s="7" t="s">
        <v>212</v>
      </c>
      <c r="D9" s="19">
        <v>0.5</v>
      </c>
      <c r="E9" s="7" t="s">
        <v>213</v>
      </c>
      <c r="F9" t="s">
        <v>73</v>
      </c>
    </row>
    <row r="10" spans="1:11" ht="12.75" customHeight="1">
      <c r="A10" s="29" t="s">
        <v>117</v>
      </c>
      <c r="B10" s="7" t="s">
        <v>209</v>
      </c>
      <c r="C10" s="7" t="s">
        <v>210</v>
      </c>
      <c r="D10" s="19">
        <v>3</v>
      </c>
      <c r="E10" s="7" t="s">
        <v>214</v>
      </c>
      <c r="F10" t="s">
        <v>73</v>
      </c>
    </row>
    <row r="11" spans="1:11" ht="12.75" customHeight="1">
      <c r="A11" s="29" t="s">
        <v>119</v>
      </c>
      <c r="B11" s="7" t="s">
        <v>83</v>
      </c>
      <c r="C11" s="7" t="s">
        <v>215</v>
      </c>
      <c r="D11" s="19">
        <v>1</v>
      </c>
      <c r="E11" s="7"/>
      <c r="H11" t="s">
        <v>73</v>
      </c>
    </row>
    <row r="12" spans="1:11" ht="12.75" customHeight="1">
      <c r="A12" s="29" t="s">
        <v>119</v>
      </c>
      <c r="B12" s="7" t="s">
        <v>87</v>
      </c>
      <c r="C12" s="7" t="s">
        <v>216</v>
      </c>
      <c r="D12" s="19">
        <v>2.5</v>
      </c>
      <c r="E12" s="7" t="s">
        <v>217</v>
      </c>
      <c r="F12" t="s">
        <v>73</v>
      </c>
    </row>
    <row r="13" spans="1:11" ht="12.75" customHeight="1">
      <c r="A13" s="30" t="s">
        <v>119</v>
      </c>
      <c r="B13" t="s">
        <v>218</v>
      </c>
      <c r="C13" t="s">
        <v>219</v>
      </c>
      <c r="D13" s="17">
        <v>2</v>
      </c>
      <c r="E13" t="s">
        <v>220</v>
      </c>
      <c r="F13" t="s">
        <v>73</v>
      </c>
    </row>
    <row r="14" spans="1:11" ht="12.75" customHeight="1">
      <c r="A14" s="30" t="s">
        <v>56</v>
      </c>
      <c r="B14" t="s">
        <v>218</v>
      </c>
      <c r="C14" t="s">
        <v>219</v>
      </c>
      <c r="D14" s="17">
        <v>4</v>
      </c>
      <c r="E14" t="s">
        <v>221</v>
      </c>
      <c r="F14" t="s">
        <v>73</v>
      </c>
    </row>
    <row r="15" spans="1:11" ht="12.75" customHeight="1">
      <c r="A15" s="30" t="s">
        <v>56</v>
      </c>
      <c r="B15" t="s">
        <v>222</v>
      </c>
      <c r="C15" t="s">
        <v>223</v>
      </c>
      <c r="D15" s="17">
        <v>3</v>
      </c>
      <c r="E15" t="s">
        <v>224</v>
      </c>
      <c r="F15" t="s">
        <v>73</v>
      </c>
    </row>
    <row r="16" spans="1:11" ht="12.75" customHeight="1">
      <c r="A16" s="30" t="s">
        <v>56</v>
      </c>
      <c r="B16" t="s">
        <v>225</v>
      </c>
      <c r="C16" t="s">
        <v>226</v>
      </c>
      <c r="D16" s="17">
        <v>1</v>
      </c>
      <c r="E16" t="s">
        <v>224</v>
      </c>
      <c r="F16" t="s">
        <v>73</v>
      </c>
    </row>
    <row r="29" spans="3:4" ht="12.75" customHeight="1">
      <c r="C29" s="1" t="s">
        <v>33</v>
      </c>
      <c r="D29" s="24">
        <f>SUM(D4:D28)</f>
        <v>20</v>
      </c>
    </row>
    <row r="30" spans="3:4" ht="12.75" customHeight="1">
      <c r="D30" s="20"/>
    </row>
  </sheetData>
  <pageMargins left="0.75" right="0.75" top="1" bottom="1" header="0.5" footer="0.5"/>
  <pageSetup paperSize="9" orientation="portrait" horizontalDpi="300" verticalDpi="300"/>
  <headerFooter alignWithMargins="0"/>
</worksheet>
</file>

<file path=xl/worksheets/sheet11.xml><?xml version="1.0" encoding="utf-8"?>
<worksheet xmlns="http://schemas.openxmlformats.org/spreadsheetml/2006/main" xmlns:r="http://schemas.openxmlformats.org/officeDocument/2006/relationships">
  <sheetPr codeName="Hoja11"/>
  <dimension ref="A1:K32"/>
  <sheetViews>
    <sheetView zoomScaleNormal="100" workbookViewId="0">
      <selection activeCell="A5" sqref="A5:A15"/>
    </sheetView>
  </sheetViews>
  <sheetFormatPr baseColWidth="10" defaultColWidth="9.140625" defaultRowHeight="12.75" customHeight="1"/>
  <cols>
    <col min="1" max="1" width="10.85546875" customWidth="1"/>
    <col min="2" max="2" width="19.28515625" customWidth="1"/>
    <col min="3" max="3" width="44.5703125" customWidth="1"/>
    <col min="4" max="4" width="10.85546875" style="17" customWidth="1"/>
    <col min="5" max="5" width="74.140625" customWidth="1"/>
    <col min="6" max="11" width="10.85546875" customWidth="1"/>
  </cols>
  <sheetData>
    <row r="1" spans="1:11" ht="12.75" customHeight="1">
      <c r="A1" s="1" t="s">
        <v>13</v>
      </c>
      <c r="B1" s="8">
        <v>2</v>
      </c>
      <c r="C1" s="1" t="s">
        <v>18</v>
      </c>
    </row>
    <row r="2" spans="1:11" ht="12.75" customHeight="1">
      <c r="A2" s="1" t="s">
        <v>30</v>
      </c>
      <c r="B2" s="3" t="s">
        <v>34</v>
      </c>
    </row>
    <row r="4" spans="1:11" ht="12.75" customHeight="1">
      <c r="A4" s="4" t="s">
        <v>41</v>
      </c>
      <c r="B4" s="4" t="s">
        <v>10</v>
      </c>
      <c r="C4" s="4" t="s">
        <v>14</v>
      </c>
      <c r="D4" s="18" t="s">
        <v>19</v>
      </c>
      <c r="E4" s="4" t="s">
        <v>5</v>
      </c>
      <c r="F4" s="5" t="s">
        <v>59</v>
      </c>
      <c r="G4" s="5" t="s">
        <v>60</v>
      </c>
      <c r="H4" s="5"/>
      <c r="I4" s="5"/>
      <c r="J4" s="5"/>
      <c r="K4" s="5"/>
    </row>
    <row r="5" spans="1:11" ht="12.75" customHeight="1">
      <c r="A5" s="28" t="s">
        <v>55</v>
      </c>
      <c r="B5" s="6" t="s">
        <v>49</v>
      </c>
      <c r="C5" s="6" t="s">
        <v>120</v>
      </c>
      <c r="D5" s="19">
        <v>4</v>
      </c>
      <c r="E5" s="7" t="s">
        <v>227</v>
      </c>
      <c r="F5" s="6"/>
      <c r="G5" s="6" t="s">
        <v>73</v>
      </c>
      <c r="H5" s="6"/>
      <c r="I5" s="6"/>
      <c r="J5" s="6"/>
      <c r="K5" s="6"/>
    </row>
    <row r="6" spans="1:11" ht="12.75" customHeight="1">
      <c r="A6" s="29" t="s">
        <v>241</v>
      </c>
      <c r="B6" s="7" t="s">
        <v>49</v>
      </c>
      <c r="C6" s="7" t="s">
        <v>120</v>
      </c>
      <c r="D6" s="19">
        <v>2.5</v>
      </c>
      <c r="E6" s="7" t="s">
        <v>228</v>
      </c>
      <c r="G6" t="s">
        <v>73</v>
      </c>
    </row>
    <row r="7" spans="1:11" ht="12.75" customHeight="1">
      <c r="A7" s="29" t="s">
        <v>242</v>
      </c>
      <c r="B7" s="7" t="s">
        <v>114</v>
      </c>
      <c r="C7" s="7" t="s">
        <v>115</v>
      </c>
      <c r="D7" s="19">
        <v>1</v>
      </c>
      <c r="E7" s="7" t="s">
        <v>116</v>
      </c>
      <c r="F7" t="s">
        <v>73</v>
      </c>
    </row>
    <row r="8" spans="1:11" ht="12.75" customHeight="1">
      <c r="A8" s="29" t="s">
        <v>242</v>
      </c>
      <c r="B8" s="7" t="s">
        <v>109</v>
      </c>
      <c r="C8" s="7" t="s">
        <v>229</v>
      </c>
      <c r="D8" s="19">
        <v>1</v>
      </c>
      <c r="E8" s="7" t="s">
        <v>230</v>
      </c>
      <c r="F8" t="s">
        <v>73</v>
      </c>
    </row>
    <row r="9" spans="1:11" ht="12.75" customHeight="1">
      <c r="A9" s="29" t="s">
        <v>111</v>
      </c>
      <c r="B9" s="7" t="s">
        <v>231</v>
      </c>
      <c r="C9" s="7" t="s">
        <v>112</v>
      </c>
      <c r="D9" s="19">
        <v>1.5</v>
      </c>
      <c r="E9" s="7" t="s">
        <v>113</v>
      </c>
      <c r="F9" t="s">
        <v>73</v>
      </c>
    </row>
    <row r="10" spans="1:11" ht="12.75" customHeight="1">
      <c r="A10" s="29" t="s">
        <v>111</v>
      </c>
      <c r="B10" s="7" t="s">
        <v>109</v>
      </c>
      <c r="C10" s="7" t="s">
        <v>229</v>
      </c>
      <c r="D10" s="19">
        <v>1</v>
      </c>
      <c r="E10" s="7" t="s">
        <v>230</v>
      </c>
      <c r="F10" t="s">
        <v>73</v>
      </c>
    </row>
    <row r="11" spans="1:11" ht="12.75" customHeight="1">
      <c r="A11" s="29" t="s">
        <v>119</v>
      </c>
      <c r="B11" s="7" t="s">
        <v>87</v>
      </c>
      <c r="C11" s="7" t="s">
        <v>101</v>
      </c>
      <c r="D11" s="19">
        <v>2</v>
      </c>
      <c r="E11" s="7"/>
      <c r="F11" t="s">
        <v>73</v>
      </c>
    </row>
    <row r="12" spans="1:11" ht="12.75" customHeight="1">
      <c r="A12" s="29" t="s">
        <v>56</v>
      </c>
      <c r="B12" s="7" t="s">
        <v>49</v>
      </c>
      <c r="C12" s="7" t="s">
        <v>120</v>
      </c>
      <c r="D12" s="19">
        <v>5</v>
      </c>
      <c r="E12" s="7" t="s">
        <v>121</v>
      </c>
      <c r="G12" t="s">
        <v>73</v>
      </c>
    </row>
    <row r="13" spans="1:11" ht="12.75" customHeight="1">
      <c r="A13" s="29" t="s">
        <v>56</v>
      </c>
      <c r="B13" s="7" t="s">
        <v>76</v>
      </c>
      <c r="C13" s="7" t="s">
        <v>122</v>
      </c>
      <c r="D13" s="19">
        <v>1.5</v>
      </c>
      <c r="E13" s="7" t="s">
        <v>123</v>
      </c>
      <c r="F13" t="s">
        <v>73</v>
      </c>
    </row>
    <row r="14" spans="1:11" ht="12.75" customHeight="1">
      <c r="A14" s="29" t="s">
        <v>56</v>
      </c>
      <c r="B14" s="7" t="s">
        <v>83</v>
      </c>
      <c r="C14" s="7" t="s">
        <v>124</v>
      </c>
      <c r="D14" s="19">
        <v>2</v>
      </c>
      <c r="E14" t="s">
        <v>125</v>
      </c>
      <c r="F14" t="s">
        <v>73</v>
      </c>
    </row>
    <row r="15" spans="1:11" ht="12.75" customHeight="1">
      <c r="A15" s="29" t="s">
        <v>56</v>
      </c>
      <c r="B15" s="7" t="s">
        <v>222</v>
      </c>
      <c r="C15" s="7" t="s">
        <v>232</v>
      </c>
      <c r="D15" s="19">
        <v>1.5</v>
      </c>
      <c r="E15" t="s">
        <v>233</v>
      </c>
    </row>
    <row r="16" spans="1:11" ht="12.75" customHeight="1">
      <c r="A16" s="7"/>
      <c r="B16" s="7"/>
      <c r="C16" s="7"/>
      <c r="D16" s="19"/>
    </row>
    <row r="31" spans="3:4" ht="12.75" customHeight="1">
      <c r="C31" s="1" t="s">
        <v>33</v>
      </c>
      <c r="D31" s="24">
        <f>SUM(D6:D30)</f>
        <v>19</v>
      </c>
    </row>
    <row r="32" spans="3:4" ht="12.75" customHeight="1">
      <c r="D32" s="20"/>
    </row>
  </sheetData>
  <pageMargins left="0.75" right="0.75" top="1" bottom="1" header="0.5" footer="0.5"/>
  <pageSetup paperSize="9" orientation="portrait" horizontalDpi="300" verticalDpi="300"/>
  <headerFooter alignWithMargins="0"/>
</worksheet>
</file>

<file path=xl/worksheets/sheet12.xml><?xml version="1.0" encoding="utf-8"?>
<worksheet xmlns="http://schemas.openxmlformats.org/spreadsheetml/2006/main" xmlns:r="http://schemas.openxmlformats.org/officeDocument/2006/relationships">
  <sheetPr codeName="Hoja12"/>
  <dimension ref="A1:K30"/>
  <sheetViews>
    <sheetView tabSelected="1" zoomScaleNormal="100" workbookViewId="0">
      <selection activeCell="C10" sqref="C10"/>
    </sheetView>
  </sheetViews>
  <sheetFormatPr baseColWidth="10" defaultColWidth="9.140625" defaultRowHeight="12.75" customHeight="1"/>
  <cols>
    <col min="1" max="1" width="12.140625" customWidth="1"/>
    <col min="2" max="2" width="21.42578125" customWidth="1"/>
    <col min="3" max="3" width="52.85546875" customWidth="1"/>
    <col min="4" max="4" width="10.85546875" style="17" customWidth="1"/>
    <col min="5" max="5" width="74.140625" customWidth="1"/>
    <col min="6" max="6" width="10.85546875" customWidth="1"/>
    <col min="7" max="7" width="12" bestFit="1" customWidth="1"/>
    <col min="8" max="11" width="10.85546875" customWidth="1"/>
  </cols>
  <sheetData>
    <row r="1" spans="1:11" ht="12.75" customHeight="1">
      <c r="A1" s="1" t="s">
        <v>13</v>
      </c>
      <c r="B1" s="8">
        <v>2</v>
      </c>
      <c r="C1" s="1" t="s">
        <v>18</v>
      </c>
    </row>
    <row r="2" spans="1:11" ht="12.75" customHeight="1">
      <c r="A2" s="1" t="s">
        <v>30</v>
      </c>
      <c r="B2" s="3" t="s">
        <v>37</v>
      </c>
    </row>
    <row r="4" spans="1:11" ht="12.75" customHeight="1">
      <c r="A4" s="4" t="s">
        <v>41</v>
      </c>
      <c r="B4" s="4" t="s">
        <v>10</v>
      </c>
      <c r="C4" s="4" t="s">
        <v>14</v>
      </c>
      <c r="D4" s="18" t="s">
        <v>19</v>
      </c>
      <c r="E4" s="4" t="s">
        <v>5</v>
      </c>
      <c r="F4" s="5" t="s">
        <v>71</v>
      </c>
      <c r="G4" s="5" t="s">
        <v>72</v>
      </c>
      <c r="H4" s="5" t="s">
        <v>60</v>
      </c>
      <c r="I4" s="5"/>
      <c r="J4" s="5"/>
      <c r="K4" s="5"/>
    </row>
    <row r="5" spans="1:11" s="30" customFormat="1" ht="12.75" customHeight="1">
      <c r="A5" s="28" t="s">
        <v>55</v>
      </c>
      <c r="B5" s="28" t="s">
        <v>49</v>
      </c>
      <c r="C5" s="28" t="s">
        <v>234</v>
      </c>
      <c r="D5" s="19">
        <v>10</v>
      </c>
      <c r="E5" s="29" t="s">
        <v>50</v>
      </c>
      <c r="F5" s="28"/>
      <c r="G5" s="28" t="s">
        <v>73</v>
      </c>
      <c r="H5" s="28"/>
      <c r="I5" s="28"/>
      <c r="J5" s="28"/>
      <c r="K5" s="28"/>
    </row>
    <row r="6" spans="1:11" s="30" customFormat="1" ht="12.75" customHeight="1">
      <c r="A6" s="29" t="s">
        <v>111</v>
      </c>
      <c r="B6" s="29" t="s">
        <v>49</v>
      </c>
      <c r="C6" s="29" t="s">
        <v>234</v>
      </c>
      <c r="D6" s="19">
        <v>4</v>
      </c>
      <c r="E6" s="29" t="s">
        <v>127</v>
      </c>
      <c r="G6" s="30" t="s">
        <v>73</v>
      </c>
    </row>
    <row r="7" spans="1:11" s="30" customFormat="1" ht="12.75" customHeight="1">
      <c r="A7" s="29" t="s">
        <v>111</v>
      </c>
      <c r="B7" s="29" t="s">
        <v>235</v>
      </c>
      <c r="C7" s="29" t="s">
        <v>236</v>
      </c>
      <c r="D7" s="19">
        <v>1</v>
      </c>
      <c r="E7" s="30" t="s">
        <v>237</v>
      </c>
      <c r="F7" s="30" t="s">
        <v>73</v>
      </c>
    </row>
    <row r="8" spans="1:11" s="30" customFormat="1" ht="12.75" customHeight="1">
      <c r="A8" s="29" t="s">
        <v>117</v>
      </c>
      <c r="B8" s="29" t="s">
        <v>235</v>
      </c>
      <c r="C8" s="29" t="s">
        <v>236</v>
      </c>
      <c r="D8" s="19">
        <v>0.5</v>
      </c>
      <c r="E8" s="29" t="s">
        <v>238</v>
      </c>
      <c r="F8" s="30" t="s">
        <v>73</v>
      </c>
    </row>
    <row r="9" spans="1:11" s="30" customFormat="1" ht="12.75" customHeight="1">
      <c r="A9" s="29" t="s">
        <v>56</v>
      </c>
      <c r="B9" s="29" t="s">
        <v>197</v>
      </c>
      <c r="C9" s="29" t="s">
        <v>239</v>
      </c>
      <c r="D9" s="19">
        <v>10</v>
      </c>
      <c r="E9" s="29"/>
      <c r="H9" s="30" t="s">
        <v>73</v>
      </c>
    </row>
    <row r="10" spans="1:11" s="30" customFormat="1" ht="12.75" customHeight="1">
      <c r="A10" s="29"/>
      <c r="B10" s="29"/>
      <c r="C10" s="29"/>
      <c r="D10" s="19"/>
      <c r="E10" s="29"/>
    </row>
    <row r="11" spans="1:11" s="30" customFormat="1" ht="12.75" customHeight="1">
      <c r="A11" s="29"/>
      <c r="B11" s="29"/>
      <c r="C11" s="29"/>
      <c r="D11" s="19"/>
      <c r="E11" s="29"/>
    </row>
    <row r="12" spans="1:11" s="30" customFormat="1" ht="12.75" customHeight="1">
      <c r="A12" s="29"/>
      <c r="B12" s="29"/>
      <c r="C12" s="29"/>
      <c r="D12" s="19"/>
    </row>
    <row r="13" spans="1:11" s="30" customFormat="1" ht="12.75" customHeight="1">
      <c r="A13" s="29"/>
      <c r="B13" s="29"/>
      <c r="C13" s="29"/>
      <c r="D13" s="19"/>
    </row>
    <row r="14" spans="1:11" s="30" customFormat="1" ht="12.75" customHeight="1">
      <c r="D14" s="17"/>
    </row>
    <row r="15" spans="1:11" s="30" customFormat="1" ht="12.75" customHeight="1">
      <c r="D15" s="17"/>
    </row>
    <row r="16" spans="1:11" s="30" customFormat="1" ht="12.75" customHeight="1">
      <c r="D16" s="17"/>
    </row>
    <row r="17" spans="3:4" s="30" customFormat="1" ht="12.75" customHeight="1">
      <c r="D17" s="17"/>
    </row>
    <row r="18" spans="3:4" s="30" customFormat="1" ht="12.75" customHeight="1">
      <c r="D18" s="17"/>
    </row>
    <row r="19" spans="3:4" s="30" customFormat="1" ht="12.75" customHeight="1">
      <c r="D19" s="17"/>
    </row>
    <row r="20" spans="3:4" s="30" customFormat="1" ht="12.75" customHeight="1">
      <c r="D20" s="17"/>
    </row>
    <row r="21" spans="3:4" s="30" customFormat="1" ht="12.75" customHeight="1">
      <c r="D21" s="17"/>
    </row>
    <row r="22" spans="3:4" s="30" customFormat="1" ht="12.75" customHeight="1">
      <c r="D22" s="17"/>
    </row>
    <row r="23" spans="3:4" s="30" customFormat="1" ht="12.75" customHeight="1">
      <c r="D23" s="17"/>
    </row>
    <row r="24" spans="3:4" s="30" customFormat="1" ht="12.75" customHeight="1">
      <c r="D24" s="17"/>
    </row>
    <row r="25" spans="3:4" s="30" customFormat="1" ht="12.75" customHeight="1">
      <c r="D25" s="17"/>
    </row>
    <row r="26" spans="3:4" s="30" customFormat="1" ht="12.75" customHeight="1">
      <c r="D26" s="17"/>
    </row>
    <row r="27" spans="3:4" s="30" customFormat="1" ht="12.75" customHeight="1">
      <c r="D27" s="17"/>
    </row>
    <row r="28" spans="3:4" s="30" customFormat="1" ht="12.75" customHeight="1">
      <c r="D28" s="17"/>
    </row>
    <row r="29" spans="3:4" ht="12.75" customHeight="1">
      <c r="C29" s="1" t="s">
        <v>33</v>
      </c>
      <c r="D29" s="24">
        <f>SUM(D4:D28)</f>
        <v>25.5</v>
      </c>
    </row>
    <row r="30" spans="3:4" ht="12.75" customHeight="1">
      <c r="D30" s="20"/>
    </row>
  </sheetData>
  <pageMargins left="0.75" right="0.75" top="1" bottom="1" header="0.5" footer="0.5"/>
  <pageSetup paperSize="9" orientation="portrait" horizontalDpi="300" verticalDpi="300"/>
  <headerFooter alignWithMargins="0"/>
</worksheet>
</file>

<file path=xl/worksheets/sheet13.xml><?xml version="1.0" encoding="utf-8"?>
<worksheet xmlns="http://schemas.openxmlformats.org/spreadsheetml/2006/main" xmlns:r="http://schemas.openxmlformats.org/officeDocument/2006/relationships">
  <sheetPr codeName="Hoja13"/>
  <dimension ref="A1:D45"/>
  <sheetViews>
    <sheetView topLeftCell="A10" zoomScaleNormal="100" workbookViewId="0">
      <selection activeCell="B19" sqref="B19:B30"/>
    </sheetView>
  </sheetViews>
  <sheetFormatPr baseColWidth="10" defaultColWidth="9.140625" defaultRowHeight="12.75" customHeight="1"/>
  <cols>
    <col min="1" max="1" width="55.140625" customWidth="1"/>
    <col min="2" max="2" width="25.42578125" customWidth="1"/>
    <col min="3" max="3" width="52" customWidth="1"/>
    <col min="4" max="5" width="9.140625" customWidth="1"/>
  </cols>
  <sheetData>
    <row r="1" spans="1:4" ht="12.75" customHeight="1">
      <c r="A1" s="1" t="s">
        <v>21</v>
      </c>
      <c r="B1" s="9"/>
      <c r="C1" s="1" t="s">
        <v>18</v>
      </c>
    </row>
    <row r="2" spans="1:4" ht="12.75" customHeight="1">
      <c r="A2" s="1" t="s">
        <v>48</v>
      </c>
      <c r="B2" s="1" t="s">
        <v>43</v>
      </c>
      <c r="C2" s="9"/>
    </row>
    <row r="3" spans="1:4" ht="12.75" customHeight="1">
      <c r="A3" s="9"/>
      <c r="B3" s="9"/>
      <c r="C3" s="9"/>
    </row>
    <row r="4" spans="1:4" ht="12.75" customHeight="1">
      <c r="A4" s="9"/>
      <c r="B4" s="9"/>
      <c r="C4" s="9"/>
      <c r="D4" t="s">
        <v>77</v>
      </c>
    </row>
    <row r="5" spans="1:4" ht="12.75" customHeight="1">
      <c r="A5" s="9"/>
      <c r="B5" s="9"/>
      <c r="C5" s="9"/>
      <c r="D5" t="s">
        <v>73</v>
      </c>
    </row>
    <row r="6" spans="1:4" ht="12.75" customHeight="1">
      <c r="A6" s="10"/>
      <c r="B6" s="10"/>
      <c r="C6" s="9"/>
    </row>
    <row r="7" spans="1:4" ht="12.75" customHeight="1">
      <c r="A7" s="11" t="s">
        <v>9</v>
      </c>
      <c r="B7" s="35">
        <f xml:space="preserve"> SUMIFS('1 _ Alejandro Garcia'!D5:'1 _ Alejandro Garcia'!D28,'1 _ Alejandro Garcia'!B5:'1 _ Alejandro Garcia'!B28,"R*") + SUMIFS('2 _ Diego Ricca'!D5:'2 _ Diego Ricca'!D28,'2 _ Diego Ricca'!B5:'2 _ Diego Ricca'!B28,"Si") + SUMIFS('3 _ Federico Andrade'!D5:'3 _ Federico Andrade'!D28,'3 _ Federico Andrade'!B5:'3 _ Federico Andrade'!B28,"R*") + SUMIFS('4 _ Federico Trinidad'!D5:'4 _ Federico Trinidad'!D28,'4 _ Federico Trinidad'!B5:'4 _ Federico Trinidad'!B28,"R*") + SUMIFS('5 _ Ignacio Infante'!D5:'5 _ Ignacio Infante'!D28,'5 _ Ignacio Infante'!B5:'5 _ Ignacio Infante'!B28,"R*") + SUMIFS('6 _ Javier Madeiro'!D5:'6 _ Javier Madeiro'!D28,'6 _ Javier Madeiro'!B5:'6 _ Javier Madeiro'!B28,"R*") + SUMIFS('7 _ José Cordero'!D5:'7 _ José Cordero'!D28,'7 _ José Cordero'!B5:'7 _ José Cordero'!B28,"R*") + SUMIFS('8 _ Juan Ghiringhelli'!D5:'8 _ Juan Ghiringhelli'!D28,'8 _ Juan Ghiringhelli'!B5:'8 _ Juan Ghiringhelli'!B28,"R*") + SUMIFS('9 _ Leticia Vilariño'!D5:'9 _ Leticia Vilariño'!D28,'9 _ Leticia Vilariño'!B5:'9 _ Leticia Vilariño'!B28,"R*") + SUMIFS('9 _ Leticia Vilariño'!D5:'9 _ Leticia Vilariño'!D28,'9 _ Leticia Vilariño'!B5:'9 _ Leticia Vilariño'!B28,"R*") + SUMIFS('10 _ Marcos Sander'!D5:'10 _ Marcos Sander'!D28,'10 _ Marcos Sander'!B5:'10 _ Marcos Sander'!B28,"R*") + SUMIFS('11 _ Martín Taruselli'!D5:'11 _ Martín Taruselli'!D28,'11 _ Martín Taruselli'!B5:'11 _ Martín Taruselli'!B28,"R*") + SUMIFS('12 _ Vicente Acosta'!D5:'12 _ Vicente Acosta'!D28,'12 _ Vicente Acosta'!B5:'12 _ Vicente Acosta'!B28,"R*")</f>
        <v>12</v>
      </c>
      <c r="C7" s="33"/>
    </row>
    <row r="8" spans="1:4" ht="12.75" customHeight="1">
      <c r="A8" s="13" t="s">
        <v>45</v>
      </c>
      <c r="B8" s="26">
        <f xml:space="preserve"> SUMIFS('1 _ Alejandro Garcia'!D5:'1 _ Alejandro Garcia'!D28,'1 _ Alejandro Garcia'!B5:'1 _ Alejandro Garcia'!B28,"D*") + SUMIFS('2 _ Diego Ricca'!D5:'2 _ Diego Ricca'!D28,'2 _ Diego Ricca'!B5:'2 _ Diego Ricca'!B28,"Si") + SUMIFS('3 _ Federico Andrade'!D5:'3 _ Federico Andrade'!D28,'3 _ Federico Andrade'!B5:'3 _ Federico Andrade'!B28,"D*") + SUMIFS('4 _ Federico Trinidad'!D5:'4 _ Federico Trinidad'!D28,'4 _ Federico Trinidad'!B5:'4 _ Federico Trinidad'!B28,"D*") + SUMIFS('5 _ Ignacio Infante'!D5:'5 _ Ignacio Infante'!D28,'5 _ Ignacio Infante'!B5:'5 _ Ignacio Infante'!B28,"D*") + SUMIFS('6 _ Javier Madeiro'!D5:'6 _ Javier Madeiro'!D28,'6 _ Javier Madeiro'!B5:'6 _ Javier Madeiro'!B28,"D*") + SUMIFS('7 _ José Cordero'!D5:'7 _ José Cordero'!D28,'7 _ José Cordero'!B5:'7 _ José Cordero'!B28,"D*") + SUMIFS('8 _ Juan Ghiringhelli'!D5:'8 _ Juan Ghiringhelli'!D28,'8 _ Juan Ghiringhelli'!B5:'8 _ Juan Ghiringhelli'!B28,"D*") + SUMIFS('9 _ Leticia Vilariño'!D5:'9 _ Leticia Vilariño'!D28,'9 _ Leticia Vilariño'!B5:'9 _ Leticia Vilariño'!B28,"D*") + SUMIFS('9 _ Leticia Vilariño'!D5:'9 _ Leticia Vilariño'!D28,'9 _ Leticia Vilariño'!B5:'9 _ Leticia Vilariño'!B28,"D*") + SUMIFS('10 _ Marcos Sander'!D5:'10 _ Marcos Sander'!D28,'10 _ Marcos Sander'!B5:'10 _ Marcos Sander'!B28,"D*") + SUMIFS('11 _ Martín Taruselli'!D5:'11 _ Martín Taruselli'!D28,'11 _ Martín Taruselli'!B5:'11 _ Martín Taruselli'!B28,"D*") + SUMIFS('12 _ Vicente Acosta'!D5:'12 _ Vicente Acosta'!D28,'12 _ Vicente Acosta'!B5:'12 _ Vicente Acosta'!B28,"D*")</f>
        <v>14.5</v>
      </c>
      <c r="C8" s="34"/>
    </row>
    <row r="9" spans="1:4" ht="12.75" customHeight="1">
      <c r="A9" s="13" t="s">
        <v>25</v>
      </c>
      <c r="B9" s="26">
        <f xml:space="preserve"> SUMIFS('1 _ Alejandro Garcia'!D5:'1 _ Alejandro Garcia'!D28,'1 _ Alejandro Garcia'!B5:'1 _ Alejandro Garcia'!B28,"I*") + SUMIFS('2 _ Diego Ricca'!D5:'2 _ Diego Ricca'!D28,'2 _ Diego Ricca'!B5:'2 _ Diego Ricca'!B28,"Si") + SUMIFS('3 _ Federico Andrade'!D5:'3 _ Federico Andrade'!D28,'3 _ Federico Andrade'!B5:'3 _ Federico Andrade'!B28,"I*") + SUMIFS('4 _ Federico Trinidad'!D5:'4 _ Federico Trinidad'!D28,'4 _ Federico Trinidad'!B5:'4 _ Federico Trinidad'!B28,"I*") + SUMIFS('5 _ Ignacio Infante'!D5:'5 _ Ignacio Infante'!D28,'5 _ Ignacio Infante'!B5:'5 _ Ignacio Infante'!B28,"I*") + SUMIFS('6 _ Javier Madeiro'!D5:'6 _ Javier Madeiro'!D28,'6 _ Javier Madeiro'!B5:'6 _ Javier Madeiro'!B28,"I*") + SUMIFS('7 _ José Cordero'!D5:'7 _ José Cordero'!D28,'7 _ José Cordero'!B5:'7 _ José Cordero'!B28,"I*") + SUMIFS('8 _ Juan Ghiringhelli'!D5:'8 _ Juan Ghiringhelli'!D28,'8 _ Juan Ghiringhelli'!B5:'8 _ Juan Ghiringhelli'!B28,"I*") + SUMIFS('9 _ Leticia Vilariño'!D5:'9 _ Leticia Vilariño'!D28,'9 _ Leticia Vilariño'!B5:'9 _ Leticia Vilariño'!B28,"I*") + SUMIFS('9 _ Leticia Vilariño'!D5:'9 _ Leticia Vilariño'!D28,'9 _ Leticia Vilariño'!B5:'9 _ Leticia Vilariño'!B28,"I*") + SUMIFS('10 _ Marcos Sander'!D5:'10 _ Marcos Sander'!D28,'10 _ Marcos Sander'!B5:'10 _ Marcos Sander'!B28,"I*") + SUMIFS('11 _ Martín Taruselli'!D5:'11 _ Martín Taruselli'!D28,'11 _ Martín Taruselli'!B5:'11 _ Martín Taruselli'!B28,"I*") + SUMIFS('12 _ Vicente Acosta'!D5:'12 _ Vicente Acosta'!D28,'12 _ Vicente Acosta'!B5:'12 _ Vicente Acosta'!B28,"I*")</f>
        <v>46</v>
      </c>
      <c r="C9" s="33"/>
    </row>
    <row r="10" spans="1:4" ht="12.75" customHeight="1">
      <c r="A10" s="13" t="s">
        <v>6</v>
      </c>
      <c r="B10" s="26">
        <f xml:space="preserve"> SUMIFS('1 _ Alejandro Garcia'!D5:'1 _ Alejandro Garcia'!D28,'1 _ Alejandro Garcia'!B5:'1 _ Alejandro Garcia'!B28,"Q*") + SUMIFS('2 _ Diego Ricca'!D5:'2 _ Diego Ricca'!D28,'2 _ Diego Ricca'!B5:'2 _ Diego Ricca'!B28,"Si") + SUMIFS('3 _ Federico Andrade'!D5:'3 _ Federico Andrade'!D28,'3 _ Federico Andrade'!B5:'3 _ Federico Andrade'!B28,"Q*") + SUMIFS('4 _ Federico Trinidad'!D5:'4 _ Federico Trinidad'!D28,'4 _ Federico Trinidad'!B5:'4 _ Federico Trinidad'!B28,"Q*") + SUMIFS('5 _ Ignacio Infante'!D5:'5 _ Ignacio Infante'!D28,'5 _ Ignacio Infante'!B5:'5 _ Ignacio Infante'!B28,"Q*") + SUMIFS('6 _ Javier Madeiro'!D5:'6 _ Javier Madeiro'!D28,'6 _ Javier Madeiro'!B5:'6 _ Javier Madeiro'!B28,"Q*") + SUMIFS('7 _ José Cordero'!D5:'7 _ José Cordero'!D28,'7 _ José Cordero'!B5:'7 _ José Cordero'!B28,"Q*") + SUMIFS('8 _ Juan Ghiringhelli'!D5:'8 _ Juan Ghiringhelli'!D28,'8 _ Juan Ghiringhelli'!B5:'8 _ Juan Ghiringhelli'!B28,"Q*") + SUMIFS('9 _ Leticia Vilariño'!D5:'9 _ Leticia Vilariño'!D28,'9 _ Leticia Vilariño'!B5:'9 _ Leticia Vilariño'!B28,"Q*") + SUMIFS('9 _ Leticia Vilariño'!D5:'9 _ Leticia Vilariño'!D28,'9 _ Leticia Vilariño'!B5:'9 _ Leticia Vilariño'!B28,"Q*") + SUMIFS('10 _ Marcos Sander'!D5:'10 _ Marcos Sander'!D28,'10 _ Marcos Sander'!B5:'10 _ Marcos Sander'!B28,"Q*") + SUMIFS('11 _ Martín Taruselli'!D5:'11 _ Martín Taruselli'!D28,'11 _ Martín Taruselli'!B5:'11 _ Martín Taruselli'!B28,"Q*") + SUMIFS('12 _ Vicente Acosta'!D5:'12 _ Vicente Acosta'!D28,'12 _ Vicente Acosta'!B5:'12 _ Vicente Acosta'!B28,"Q*")</f>
        <v>16</v>
      </c>
      <c r="C10" s="34"/>
    </row>
    <row r="11" spans="1:4" ht="12.75" customHeight="1">
      <c r="A11" s="13" t="s">
        <v>16</v>
      </c>
      <c r="B11" s="26">
        <f xml:space="preserve"> SUMIFS('1 _ Alejandro Garcia'!D5:'1 _ Alejandro Garcia'!D28,'1 _ Alejandro Garcia'!B5:'1 _ Alejandro Garcia'!B28,"C*") + SUMIFS('2 _ Diego Ricca'!D5:'2 _ Diego Ricca'!D28,'2 _ Diego Ricca'!B5:'2 _ Diego Ricca'!B28,"Si") + SUMIFS('3 _ Federico Andrade'!D5:'3 _ Federico Andrade'!D28,'3 _ Federico Andrade'!B5:'3 _ Federico Andrade'!B28,"C*") + SUMIFS('4 _ Federico Trinidad'!D5:'4 _ Federico Trinidad'!D28,'4 _ Federico Trinidad'!B5:'4 _ Federico Trinidad'!B28,"C*") + SUMIFS('5 _ Ignacio Infante'!D5:'5 _ Ignacio Infante'!D28,'5 _ Ignacio Infante'!B5:'5 _ Ignacio Infante'!B28,"C*") + SUMIFS('6 _ Javier Madeiro'!D5:'6 _ Javier Madeiro'!D28,'6 _ Javier Madeiro'!B5:'6 _ Javier Madeiro'!B28,"C*") + SUMIFS('7 _ José Cordero'!D5:'7 _ José Cordero'!D28,'7 _ José Cordero'!B5:'7 _ José Cordero'!B28,"C*") + SUMIFS('8 _ Juan Ghiringhelli'!D5:'8 _ Juan Ghiringhelli'!D28,'8 _ Juan Ghiringhelli'!B5:'8 _ Juan Ghiringhelli'!B28,"C*") + SUMIFS('9 _ Leticia Vilariño'!D5:'9 _ Leticia Vilariño'!D28,'9 _ Leticia Vilariño'!B5:'9 _ Leticia Vilariño'!B28,"C*") + SUMIFS('9 _ Leticia Vilariño'!D5:'9 _ Leticia Vilariño'!D28,'9 _ Leticia Vilariño'!B5:'9 _ Leticia Vilariño'!B28,"C*") + SUMIFS('10 _ Marcos Sander'!D5:'10 _ Marcos Sander'!D28,'10 _ Marcos Sander'!B5:'10 _ Marcos Sander'!B28,"C*") + SUMIFS('11 _ Martín Taruselli'!D5:'11 _ Martín Taruselli'!D28,'11 _ Martín Taruselli'!B5:'11 _ Martín Taruselli'!B28,"C*") + SUMIFS('12 _ Vicente Acosta'!D5:'12 _ Vicente Acosta'!D28,'12 _ Vicente Acosta'!B5:'12 _ Vicente Acosta'!B28,"C*")</f>
        <v>4.5</v>
      </c>
      <c r="C11" s="33"/>
    </row>
    <row r="12" spans="1:4" ht="12.75" customHeight="1">
      <c r="A12" s="13" t="s">
        <v>3</v>
      </c>
      <c r="B12" s="26">
        <f xml:space="preserve"> SUMIFS('1 _ Alejandro Garcia'!D5:'1 _ Alejandro Garcia'!D28,'1 _ Alejandro Garcia'!B5:'1 _ Alejandro Garcia'!B28,"G*") + SUMIFS('2 _ Diego Ricca'!D5:'2 _ Diego Ricca'!D28,'2 _ Diego Ricca'!B5:'2 _ Diego Ricca'!B28,"Si") + SUMIFS('3 _ Federico Andrade'!D5:'3 _ Federico Andrade'!D28,'3 _ Federico Andrade'!B5:'3 _ Federico Andrade'!B28,"G*") + SUMIFS('4 _ Federico Trinidad'!D5:'4 _ Federico Trinidad'!D28,'4 _ Federico Trinidad'!B5:'4 _ Federico Trinidad'!B28,"G*") + SUMIFS('5 _ Ignacio Infante'!D5:'5 _ Ignacio Infante'!D28,'5 _ Ignacio Infante'!B5:'5 _ Ignacio Infante'!B28,"G*") + SUMIFS('6 _ Javier Madeiro'!D5:'6 _ Javier Madeiro'!D28,'6 _ Javier Madeiro'!B5:'6 _ Javier Madeiro'!B28,"G*") + SUMIFS('7 _ José Cordero'!D5:'7 _ José Cordero'!D28,'7 _ José Cordero'!B5:'7 _ José Cordero'!B28,"G*") + SUMIFS('8 _ Juan Ghiringhelli'!D5:'8 _ Juan Ghiringhelli'!D28,'8 _ Juan Ghiringhelli'!B5:'8 _ Juan Ghiringhelli'!B28,"G*") + SUMIFS('9 _ Leticia Vilariño'!D5:'9 _ Leticia Vilariño'!D28,'9 _ Leticia Vilariño'!B5:'9 _ Leticia Vilariño'!B28,"G*") + SUMIFS('9 _ Leticia Vilariño'!D5:'9 _ Leticia Vilariño'!D28,'9 _ Leticia Vilariño'!B5:'9 _ Leticia Vilariño'!B28,"G*") + SUMIFS('10 _ Marcos Sander'!D5:'10 _ Marcos Sander'!D28,'10 _ Marcos Sander'!B5:'10 _ Marcos Sander'!B28,"G*") + SUMIFS('11 _ Martín Taruselli'!D5:'11 _ Martín Taruselli'!D28,'11 _ Martín Taruselli'!B5:'11 _ Martín Taruselli'!B28,"G*") + SUMIFS('12 _ Vicente Acosta'!D5:'12 _ Vicente Acosta'!D28,'12 _ Vicente Acosta'!B5:'12 _ Vicente Acosta'!B28,"G*")</f>
        <v>42</v>
      </c>
      <c r="C12" s="33"/>
    </row>
    <row r="13" spans="1:4" ht="12.75" customHeight="1">
      <c r="A13" s="13" t="s">
        <v>44</v>
      </c>
      <c r="B13" s="26">
        <f xml:space="preserve"> SUMIFS('1 _ Alejandro Garcia'!D5:'1 _ Alejandro Garcia'!D28,'1 _ Alejandro Garcia'!B5:'1 _ Alejandro Garcia'!B28,"V*") + SUMIFS('2 _ Diego Ricca'!D5:'2 _ Diego Ricca'!D28,'2 _ Diego Ricca'!B5:'2 _ Diego Ricca'!B28,"Si") + SUMIFS('3 _ Federico Andrade'!D5:'3 _ Federico Andrade'!D28,'3 _ Federico Andrade'!B5:'3 _ Federico Andrade'!B28,"V*") + SUMIFS('4 _ Federico Trinidad'!D5:'4 _ Federico Trinidad'!D28,'4 _ Federico Trinidad'!B5:'4 _ Federico Trinidad'!B28,"V*") + SUMIFS('5 _ Ignacio Infante'!D5:'5 _ Ignacio Infante'!D28,'5 _ Ignacio Infante'!B5:'5 _ Ignacio Infante'!B28,"V*") + SUMIFS('6 _ Javier Madeiro'!D5:'6 _ Javier Madeiro'!D28,'6 _ Javier Madeiro'!B5:'6 _ Javier Madeiro'!B28,"V*") + SUMIFS('7 _ José Cordero'!D5:'7 _ José Cordero'!D28,'7 _ José Cordero'!B5:'7 _ José Cordero'!B28,"V*") + SUMIFS('8 _ Juan Ghiringhelli'!D5:'8 _ Juan Ghiringhelli'!D28,'8 _ Juan Ghiringhelli'!B5:'8 _ Juan Ghiringhelli'!B28,"V*") + SUMIFS('9 _ Leticia Vilariño'!D5:'9 _ Leticia Vilariño'!D28,'9 _ Leticia Vilariño'!B5:'9 _ Leticia Vilariño'!B28,"V*") + SUMIFS('9 _ Leticia Vilariño'!D5:'9 _ Leticia Vilariño'!D28,'9 _ Leticia Vilariño'!B5:'9 _ Leticia Vilariño'!B28,"V*") + SUMIFS('10 _ Marcos Sander'!D5:'10 _ Marcos Sander'!D28,'10 _ Marcos Sander'!B5:'10 _ Marcos Sander'!B28,"V*") + SUMIFS('11 _ Martín Taruselli'!D5:'11 _ Martín Taruselli'!D28,'11 _ Martín Taruselli'!B5:'11 _ Martín Taruselli'!B28,"V*") + SUMIFS('12 _ Vicente Acosta'!D5:'12 _ Vicente Acosta'!D28,'12 _ Vicente Acosta'!B5:'12 _ Vicente Acosta'!B28,"V*")</f>
        <v>20</v>
      </c>
      <c r="C13" s="33"/>
    </row>
    <row r="14" spans="1:4" ht="12.75" customHeight="1">
      <c r="A14" s="13" t="s">
        <v>28</v>
      </c>
      <c r="B14" s="26">
        <f xml:space="preserve"> SUMIFS('1 _ Alejandro Garcia'!D5:'1 _ Alejandro Garcia'!D28,'1 _ Alejandro Garcia'!B5:'1 _ Alejandro Garcia'!B28,"U*") + SUMIFS('2 _ Diego Ricca'!D5:'2 _ Diego Ricca'!D28,'2 _ Diego Ricca'!B5:'2 _ Diego Ricca'!B28,"Si") + SUMIFS('3 _ Federico Andrade'!D5:'3 _ Federico Andrade'!D28,'3 _ Federico Andrade'!B5:'3 _ Federico Andrade'!B28,"U*") + SUMIFS('4 _ Federico Trinidad'!D5:'4 _ Federico Trinidad'!D28,'4 _ Federico Trinidad'!B5:'4 _ Federico Trinidad'!B28,"U*") + SUMIFS('5 _ Ignacio Infante'!D5:'5 _ Ignacio Infante'!D28,'5 _ Ignacio Infante'!B5:'5 _ Ignacio Infante'!B28,"U*") + SUMIFS('6 _ Javier Madeiro'!D5:'6 _ Javier Madeiro'!D28,'6 _ Javier Madeiro'!B5:'6 _ Javier Madeiro'!B28,"U*") + SUMIFS('7 _ José Cordero'!D5:'7 _ José Cordero'!D28,'7 _ José Cordero'!B5:'7 _ José Cordero'!B28,"U*") + SUMIFS('8 _ Juan Ghiringhelli'!D5:'8 _ Juan Ghiringhelli'!D28,'8 _ Juan Ghiringhelli'!B5:'8 _ Juan Ghiringhelli'!B28,"U*") + SUMIFS('9 _ Leticia Vilariño'!D5:'9 _ Leticia Vilariño'!D28,'9 _ Leticia Vilariño'!B5:'9 _ Leticia Vilariño'!B28,"U*") + SUMIFS('9 _ Leticia Vilariño'!D5:'9 _ Leticia Vilariño'!D28,'9 _ Leticia Vilariño'!B5:'9 _ Leticia Vilariño'!B28,"U*") + SUMIFS('10 _ Marcos Sander'!D5:'10 _ Marcos Sander'!D28,'10 _ Marcos Sander'!B5:'10 _ Marcos Sander'!B28,"U*") + SUMIFS('11 _ Martín Taruselli'!D5:'11 _ Martín Taruselli'!D28,'11 _ Martín Taruselli'!B5:'11 _ Martín Taruselli'!B28,"U*") + SUMIFS('12 _ Vicente Acosta'!D5:'12 _ Vicente Acosta'!D28,'12 _ Vicente Acosta'!B5:'12 _ Vicente Acosta'!B28,"U*")</f>
        <v>0</v>
      </c>
      <c r="C14" s="33"/>
    </row>
    <row r="15" spans="1:4" ht="12.75" customHeight="1">
      <c r="A15" s="13" t="s">
        <v>32</v>
      </c>
      <c r="B15" s="26">
        <f xml:space="preserve"> SUMIFS('1 _ Alejandro Garcia'!D5:'1 _ Alejandro Garcia'!D28,'1 _ Alejandro Garcia'!B5:'1 _ Alejandro Garcia'!B28,"P*") + SUMIFS('2 _ Diego Ricca'!D5:'2 _ Diego Ricca'!D28,'2 _ Diego Ricca'!B5:'2 _ Diego Ricca'!B28,"Si") + SUMIFS('3 _ Federico Andrade'!D5:'3 _ Federico Andrade'!D28,'3 _ Federico Andrade'!B5:'3 _ Federico Andrade'!B28,"P*") + SUMIFS('4 _ Federico Trinidad'!D5:'4 _ Federico Trinidad'!D28,'4 _ Federico Trinidad'!B5:'4 _ Federico Trinidad'!B28,"P*") + SUMIFS('5 _ Ignacio Infante'!D5:'5 _ Ignacio Infante'!D28,'5 _ Ignacio Infante'!B5:'5 _ Ignacio Infante'!B28,"P*") + SUMIFS('6 _ Javier Madeiro'!D5:'6 _ Javier Madeiro'!D28,'6 _ Javier Madeiro'!B5:'6 _ Javier Madeiro'!B28,"P*") + SUMIFS('7 _ José Cordero'!D5:'7 _ José Cordero'!D28,'7 _ José Cordero'!B5:'7 _ José Cordero'!B28,"P*") + SUMIFS('8 _ Juan Ghiringhelli'!D5:'8 _ Juan Ghiringhelli'!D28,'8 _ Juan Ghiringhelli'!B5:'8 _ Juan Ghiringhelli'!B28,"P*") + SUMIFS('9 _ Leticia Vilariño'!D5:'9 _ Leticia Vilariño'!D28,'9 _ Leticia Vilariño'!B5:'9 _ Leticia Vilariño'!B28,"P*") + SUMIFS('9 _ Leticia Vilariño'!D5:'9 _ Leticia Vilariño'!D28,'9 _ Leticia Vilariño'!B5:'9 _ Leticia Vilariño'!B28,"P*") + SUMIFS('10 _ Marcos Sander'!D5:'10 _ Marcos Sander'!D28,'10 _ Marcos Sander'!B5:'10 _ Marcos Sander'!B28,"P*") + SUMIFS('11 _ Martín Taruselli'!D5:'11 _ Martín Taruselli'!D28,'11 _ Martín Taruselli'!B5:'11 _ Martín Taruselli'!B28,"P*") + SUMIFS('12 _ Vicente Acosta'!D5:'12 _ Vicente Acosta'!D28,'12 _ Vicente Acosta'!B5:'12 _ Vicente Acosta'!B28,"P*")</f>
        <v>0</v>
      </c>
      <c r="C15" s="33"/>
    </row>
    <row r="16" spans="1:4" ht="12.75" customHeight="1">
      <c r="A16" s="14" t="s">
        <v>240</v>
      </c>
      <c r="B16" s="27">
        <f xml:space="preserve"> SUMIFS('1 _ Alejandro Garcia'!D5:'1 _ Alejandro Garcia'!D28,'1 _ Alejandro Garcia'!B5:'1 _ Alejandro Garcia'!B28,"E*") + SUMIFS('2 _ Diego Ricca'!D5:'2 _ Diego Ricca'!D28,'2 _ Diego Ricca'!B5:'2 _ Diego Ricca'!B28,"Si") + SUMIFS('3 _ Federico Andrade'!D5:'3 _ Federico Andrade'!D28,'3 _ Federico Andrade'!B5:'3 _ Federico Andrade'!B28,"E*") + SUMIFS('4 _ Federico Trinidad'!D5:'4 _ Federico Trinidad'!D28,'4 _ Federico Trinidad'!B5:'4 _ Federico Trinidad'!B28,"E*") + SUMIFS('5 _ Ignacio Infante'!D5:'5 _ Ignacio Infante'!D28,'5 _ Ignacio Infante'!B5:'5 _ Ignacio Infante'!B28,"E*") + SUMIFS('6 _ Javier Madeiro'!D5:'6 _ Javier Madeiro'!D28,'6 _ Javier Madeiro'!B5:'6 _ Javier Madeiro'!B28,"E*") + SUMIFS('7 _ José Cordero'!D5:'7 _ José Cordero'!D28,'7 _ José Cordero'!B5:'7 _ José Cordero'!B28,"E*") + SUMIFS('8 _ Juan Ghiringhelli'!D5:'8 _ Juan Ghiringhelli'!D28,'8 _ Juan Ghiringhelli'!B5:'8 _ Juan Ghiringhelli'!B28,"E*") + SUMIFS('9 _ Leticia Vilariño'!D5:'9 _ Leticia Vilariño'!D28,'9 _ Leticia Vilariño'!B5:'9 _ Leticia Vilariño'!B28,"E*") + SUMIFS('9 _ Leticia Vilariño'!D5:'9 _ Leticia Vilariño'!D28,'9 _ Leticia Vilariño'!B5:'9 _ Leticia Vilariño'!B28,"E*") + SUMIFS('10 _ Marcos Sander'!D5:'10 _ Marcos Sander'!D28,'10 _ Marcos Sander'!B5:'10 _ Marcos Sander'!B28,"E*") + SUMIFS('11 _ Martín Taruselli'!D5:'11 _ Martín Taruselli'!D28,'11 _ Martín Taruselli'!B5:'11 _ Martín Taruselli'!B28,"E*") + SUMIFS('12 _ Vicente Acosta'!D5:'12 _ Vicente Acosta'!D28,'12 _ Vicente Acosta'!B5:'12 _ Vicente Acosta'!B28,"E*")</f>
        <v>120</v>
      </c>
      <c r="C16" s="9"/>
    </row>
    <row r="17" spans="1:3" ht="12.75" customHeight="1">
      <c r="A17" s="6"/>
      <c r="B17" s="6"/>
      <c r="C17" s="9"/>
    </row>
    <row r="18" spans="1:3" ht="12.75" customHeight="1">
      <c r="A18" s="10"/>
      <c r="B18" s="10"/>
      <c r="C18" s="12"/>
    </row>
    <row r="19" spans="1:3" ht="12.75" customHeight="1">
      <c r="A19" s="11" t="s">
        <v>39</v>
      </c>
      <c r="B19" s="25">
        <f xml:space="preserve"> SUMIFS('2 _ Diego Ricca'!D5:'2 _ Diego Ricca'!D28,'2 _ Diego Ricca'!F5:'2 _ Diego Ricca'!F28,"Si") + SUMIFS('7 _ José Cordero'!D5:'7 _ José Cordero'!D28,'7 _ José Cordero'!F5:'7 _ José Cordero'!F28,D5) + SUMIFS('9 _ Leticia Vilariño'!D5:'9 _ Leticia Vilariño'!D28,'9 _ Leticia Vilariño'!F5:'9 _ Leticia Vilariño'!F28,D5) + SUMIFS('11 _ Martín Taruselli'!D5:'11 _ Martín Taruselli'!D28,'11 _ Martín Taruselli'!F5:'11 _ Martín Taruselli'!F28,D5)</f>
        <v>24.5</v>
      </c>
      <c r="C19" s="12"/>
    </row>
    <row r="20" spans="1:3" ht="12.75" customHeight="1">
      <c r="A20" s="13" t="s">
        <v>36</v>
      </c>
      <c r="B20" s="26"/>
      <c r="C20" s="12"/>
    </row>
    <row r="21" spans="1:3" ht="12.75" customHeight="1">
      <c r="A21" s="13" t="s">
        <v>27</v>
      </c>
      <c r="B21" s="26">
        <f xml:space="preserve"> SUMIFS('10 _ Marcos Sander'!D5:'10 _ Marcos Sander'!D28,'10 _ Marcos Sander'!F5:'10 _ Marcos Sander'!F28,D5)</f>
        <v>18</v>
      </c>
      <c r="C21" s="12"/>
    </row>
    <row r="22" spans="1:3" ht="12.75" customHeight="1">
      <c r="A22" s="13" t="s">
        <v>46</v>
      </c>
      <c r="B22" s="26">
        <f xml:space="preserve"> SUMIFS('10 _ Marcos Sander'!D5:'10 _ Marcos Sander'!D28,'10 _ Marcos Sander'!H5:'10 _ Marcos Sander'!H28,D5)</f>
        <v>1</v>
      </c>
      <c r="C22" s="12"/>
    </row>
    <row r="23" spans="1:3" ht="12.75" customHeight="1">
      <c r="A23" s="13" t="s">
        <v>7</v>
      </c>
      <c r="B23" s="26">
        <f xml:space="preserve"> SUMIFS('2 _ Diego Ricca'!D5:'2 _ Diego Ricca'!D28,'2 _ Diego Ricca'!G5:'2 _ Diego Ricca'!G28,"Si") + SUMIFS('3 _ Federico Andrade'!D5:'3 _ Federico Andrade'!D28,'3 _ Federico Andrade'!G5:'3 _ Federico Andrade'!G28,D5) + SUMIFS('4 _ Federico Trinidad'!D5:'4 _ Federico Trinidad'!D28,'4 _ Federico Trinidad'!G5:'4 _ Federico Trinidad'!G28,D5) + SUMIFS('5 _ Ignacio Infante'!D5:'5 _ Ignacio Infante'!D28,'5 _ Ignacio Infante'!G5:'5 _ Ignacio Infante'!G28,D5) + SUMIFS('7 _ José Cordero'!D5:'7 _ José Cordero'!D28,'7 _ José Cordero'!G5:'7 _ José Cordero'!G28,D5) + SUMIFS('9 _ Leticia Vilariño'!D5:'9 _ Leticia Vilariño'!D28,'9 _ Leticia Vilariño'!H5:'9 _ Leticia Vilariño'!H28,D5) + SUMIFS('9 _ Leticia Vilariño'!D5:'9 _ Leticia Vilariño'!D28,'9 _ Leticia Vilariño'!G5:'9 _ Leticia Vilariño'!G28,D5) + SUMIFS('11 _ Martín Taruselli'!D5:'11 _ Martín Taruselli'!D28,'11 _ Martín Taruselli'!G5:'11 _ Martín Taruselli'!G28,D5) + SUMIFS('12 _ Vicente Acosta'!D5:'12 _ Vicente Acosta'!D28,'12 _ Vicente Acosta'!H5:'12 _ Vicente Acosta'!H28,D5)</f>
        <v>106</v>
      </c>
      <c r="C23" s="12"/>
    </row>
    <row r="24" spans="1:3" ht="12.75" customHeight="1">
      <c r="A24" s="13" t="s">
        <v>42</v>
      </c>
      <c r="B24" s="26">
        <f xml:space="preserve"> SUMIFS('3 _ Federico Andrade'!D5:'3 _ Federico Andrade'!D28,'3 _ Federico Andrade'!F5:'3 _ Federico Andrade'!F28,D5) + SUMIFS('4 _ Federico Trinidad'!D5:'4 _ Federico Trinidad'!D28,'4 _ Federico Trinidad'!F5:'4 _ Federico Trinidad'!F28,D5) + SUMIFS('5 _ Ignacio Infante'!D5:'5 _ Ignacio Infante'!D28,'5 _ Ignacio Infante'!F5:'5 _ Ignacio Infante'!F28,D5) + SUMIFS('12 _ Vicente Acosta'!D5:'12 _ Vicente Acosta'!D28,'12 _ Vicente Acosta'!G5:'12 _ Vicente Acosta'!G28,D5)</f>
        <v>64</v>
      </c>
      <c r="C24" s="12"/>
    </row>
    <row r="25" spans="1:3" ht="12.75" customHeight="1">
      <c r="A25" s="13" t="s">
        <v>8</v>
      </c>
      <c r="B25" s="26">
        <f xml:space="preserve"> SUMIFS('6 _ Javier Madeiro'!D5:'6 _ Javier Madeiro'!D28,'6 _ Javier Madeiro'!F5:'6 _ Javier Madeiro'!F28,D5)</f>
        <v>21.5</v>
      </c>
      <c r="C25" s="12"/>
    </row>
    <row r="26" spans="1:3" ht="12.75" customHeight="1">
      <c r="A26" s="13" t="s">
        <v>2</v>
      </c>
      <c r="B26" s="26">
        <f xml:space="preserve"> SUMIFS('12 _ Vicente Acosta'!D5:'12 _ Vicente Acosta'!D28,'12 _ Vicente Acosta'!F5:'12 _ Vicente Acosta'!F28,D5)</f>
        <v>1.5</v>
      </c>
      <c r="C26" s="12"/>
    </row>
    <row r="27" spans="1:3" ht="12.75" customHeight="1">
      <c r="A27" s="13" t="s">
        <v>17</v>
      </c>
      <c r="B27" s="26">
        <f xml:space="preserve"> SUMIFS('1 _ Alejandro Garcia'!D5:'1 _ Alejandro Garcia'!D28,'1 _ Alejandro Garcia'!F5:'1 _ Alejandro Garcia'!F28,D5) + SUMIFS('1 _ Alejandro Garcia'!D5:'1 _ Alejandro Garcia'!D28,'1 _ Alejandro Garcia'!G5:'1 _ Alejandro Garcia'!G28,D5)</f>
        <v>26</v>
      </c>
      <c r="C27" s="12"/>
    </row>
    <row r="28" spans="1:3" ht="12.75" customHeight="1">
      <c r="A28" s="16" t="s">
        <v>40</v>
      </c>
      <c r="B28" s="26">
        <f xml:space="preserve"> SUMIFS('6 _ Javier Madeiro'!D5:'6 _ Javier Madeiro'!D28,'6 _ Javier Madeiro'!G5:'6 _ Javier Madeiro'!G28,D5) + SUMIFS('7 _ José Cordero'!D5:'7 _ José Cordero'!D28,'7 _ José Cordero'!H5:'7 _ José Cordero'!H28,D5) + SUMIFS('8 _ Juan Ghiringhelli'!D5:'8 _ Juan Ghiringhelli'!D28,'8 _ Juan Ghiringhelli'!G5:'8 _ Juan Ghiringhelli'!G28,D5) + SUMIFS('10 _ Marcos Sander'!D5:'10 _ Marcos Sander'!D28,'10 _ Marcos Sander'!G5:'10 _ Marcos Sander'!G28,D5)</f>
        <v>0</v>
      </c>
      <c r="C28" s="12"/>
    </row>
    <row r="29" spans="1:3" ht="12.75" customHeight="1">
      <c r="A29" s="13" t="s">
        <v>22</v>
      </c>
      <c r="B29" s="26">
        <f xml:space="preserve"> SUMIFS('8 _ Juan Ghiringhelli'!D5:'8 _ Juan Ghiringhelli'!D28,'8 _ Juan Ghiringhelli'!F5:'8 _ Juan Ghiringhelli'!F28,D5)</f>
        <v>20</v>
      </c>
      <c r="C29" s="12"/>
    </row>
    <row r="30" spans="1:3" ht="12.75" customHeight="1">
      <c r="A30" s="13" t="s">
        <v>26</v>
      </c>
      <c r="B30" s="26">
        <f xml:space="preserve"> SUMIFS('8 _ Juan Ghiringhelli'!D5:'8 _ Juan Ghiringhelli'!D28,'8 _ Juan Ghiringhelli'!H5:'8 _ Juan Ghiringhelli'!H28,D5)</f>
        <v>2</v>
      </c>
      <c r="C30" s="12"/>
    </row>
    <row r="31" spans="1:3" ht="12.75" customHeight="1">
      <c r="A31" s="14" t="s">
        <v>47</v>
      </c>
      <c r="B31" s="15"/>
      <c r="C31" s="9"/>
    </row>
    <row r="32" spans="1:3" ht="12.75" customHeight="1">
      <c r="A32" s="6"/>
      <c r="B32" s="6"/>
      <c r="C32" s="9"/>
    </row>
    <row r="33" spans="1:3" ht="12.75" customHeight="1">
      <c r="A33" s="10"/>
      <c r="B33" s="10"/>
      <c r="C33" s="33"/>
    </row>
    <row r="34" spans="1:3" ht="12.75" customHeight="1">
      <c r="A34" s="11" t="s">
        <v>15</v>
      </c>
      <c r="B34" s="25">
        <f>SUM( '1 _ Alejandro Garcia'!D5:'1 _ Alejandro Garcia'!D28)</f>
        <v>26</v>
      </c>
      <c r="C34" s="12"/>
    </row>
    <row r="35" spans="1:3" ht="12.75" customHeight="1">
      <c r="A35" s="13" t="s">
        <v>23</v>
      </c>
      <c r="B35" s="26">
        <f>SUM( '2 _ Diego Ricca'!D5:'2 _ Diego Ricca'!D28)</f>
        <v>23.5</v>
      </c>
      <c r="C35" s="12"/>
    </row>
    <row r="36" spans="1:3" ht="12.75" customHeight="1">
      <c r="A36" s="13" t="s">
        <v>20</v>
      </c>
      <c r="B36" s="26">
        <f>SUM( '3 _ Federico Andrade'!D5:'3 _ Federico Andrade'!D28)</f>
        <v>26</v>
      </c>
      <c r="C36" s="12"/>
    </row>
    <row r="37" spans="1:3" ht="12.75" customHeight="1">
      <c r="A37" s="13" t="s">
        <v>38</v>
      </c>
      <c r="B37" s="26">
        <f>SUM( '4 _ Federico Trinidad'!D5:'4 _ Federico Trinidad'!D28)</f>
        <v>29</v>
      </c>
      <c r="C37" s="12"/>
    </row>
    <row r="38" spans="1:3" ht="12.75" customHeight="1">
      <c r="A38" s="13" t="s">
        <v>1</v>
      </c>
      <c r="B38" s="26">
        <f>SUM( '5 _ Ignacio Infante'!D5:'5 _ Ignacio Infante'!D28)</f>
        <v>30</v>
      </c>
      <c r="C38" s="12"/>
    </row>
    <row r="39" spans="1:3" ht="12.75" customHeight="1">
      <c r="A39" s="13" t="s">
        <v>0</v>
      </c>
      <c r="B39" s="26">
        <f>SUM( '6 _ Javier Madeiro'!D5:'6 _ Javier Madeiro'!D28)</f>
        <v>21.5</v>
      </c>
      <c r="C39" s="12"/>
    </row>
    <row r="40" spans="1:3" ht="12.75" customHeight="1">
      <c r="A40" s="13" t="s">
        <v>29</v>
      </c>
      <c r="B40" s="26">
        <f>SUM( '7 _ José Cordero'!D5:'7 _ José Cordero'!D28)</f>
        <v>22</v>
      </c>
      <c r="C40" s="12"/>
    </row>
    <row r="41" spans="1:3" ht="12.75" customHeight="1">
      <c r="A41" s="13" t="s">
        <v>11</v>
      </c>
      <c r="B41" s="26">
        <f>SUM( '8 _ Juan Ghiringhelli'!D5:'8 _ Juan Ghiringhelli'!D28)</f>
        <v>22</v>
      </c>
      <c r="C41" s="12"/>
    </row>
    <row r="42" spans="1:3" ht="12.75" customHeight="1">
      <c r="A42" s="13" t="s">
        <v>24</v>
      </c>
      <c r="B42" s="26">
        <f>SUM( '9 _ Leticia Vilariño'!D5:'9 _ Leticia Vilariño'!D28)</f>
        <v>20.5</v>
      </c>
      <c r="C42" s="12"/>
    </row>
    <row r="43" spans="1:3" ht="12.75" customHeight="1">
      <c r="A43" s="13" t="s">
        <v>12</v>
      </c>
      <c r="B43" s="26">
        <f>SUM( '10 _ Marcos Sander'!D5:'10 _ Marcos Sander'!D28)</f>
        <v>20</v>
      </c>
      <c r="C43" s="12"/>
    </row>
    <row r="44" spans="1:3" ht="12.75" customHeight="1">
      <c r="A44" s="13" t="s">
        <v>31</v>
      </c>
      <c r="B44" s="26">
        <f>SUM( '11 _ Martín Taruselli'!D5:'11 _ Martín Taruselli'!D28)</f>
        <v>23</v>
      </c>
      <c r="C44" s="12"/>
    </row>
    <row r="45" spans="1:3" ht="12.75" customHeight="1">
      <c r="A45" s="14" t="s">
        <v>37</v>
      </c>
      <c r="B45" s="27">
        <f>SUM( '12 _ Vicente Acosta'!D5:'12 _ Vicente Acosta'!D28)</f>
        <v>25.5</v>
      </c>
    </row>
  </sheetData>
  <dataConsolidate>
    <dataRefs count="12">
      <dataRef ref="D5:D28" sheet="1 _ Alejandro Garcia"/>
      <dataRef ref="D5:D28" sheet="10 _ Marcos Sander"/>
      <dataRef ref="D5:D28" sheet="11 _ Martín Taruselli"/>
      <dataRef ref="D5:D28" sheet="12 _ Vicente Acosta"/>
      <dataRef ref="D5:D28" sheet="2 _ Diego Ricca"/>
      <dataRef ref="D5:D28" sheet="3 _ Federico Andrade"/>
      <dataRef ref="D5:D28" sheet="4 _ Federico Trinidad"/>
      <dataRef ref="D5:D28" sheet="6 _ Javier Madeiro"/>
      <dataRef ref="D5:D28" sheet="7 _ José Cordero"/>
      <dataRef ref="D5:D28" sheet="8 _ Juan Ghiringhelli"/>
      <dataRef ref="D5:D28" sheet="9 _ Leticia Vilariño"/>
      <dataRef name="$D$5:$D$28'5 _ Ignacio Infante'!"/>
    </dataRefs>
  </dataConsolidate>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sheetPr codeName="Hoja14"/>
  <dimension ref="A1"/>
  <sheetViews>
    <sheetView zoomScaleNormal="100" workbookViewId="0"/>
  </sheetViews>
  <sheetFormatPr baseColWidth="10" defaultColWidth="9.140625" defaultRowHeight="12.75" customHeight="1"/>
  <cols>
    <col min="1" max="5" width="9.140625" customWidth="1"/>
  </cols>
  <sheetData/>
  <pageMargins left="0.75" right="0.75" top="1" bottom="1" header="0.5" footer="0.5"/>
  <pageSetup paperSize="9" orientation="portrait" horizontalDpi="300" verticalDpi="300"/>
  <headerFooter alignWithMargins="0"/>
  <drawing r:id="rId1"/>
</worksheet>
</file>

<file path=xl/worksheets/sheet15.xml><?xml version="1.0" encoding="utf-8"?>
<worksheet xmlns="http://schemas.openxmlformats.org/spreadsheetml/2006/main" xmlns:r="http://schemas.openxmlformats.org/officeDocument/2006/relationships">
  <sheetPr codeName="Hoja15"/>
  <dimension ref="A1"/>
  <sheetViews>
    <sheetView zoomScaleNormal="100" workbookViewId="0"/>
  </sheetViews>
  <sheetFormatPr baseColWidth="10" defaultColWidth="9.140625" defaultRowHeight="12.75" customHeight="1"/>
  <cols>
    <col min="1" max="5" width="9.140625" customWidth="1"/>
  </cols>
  <sheetData/>
  <pageMargins left="0.75" right="0.75" top="1" bottom="1" header="0.5" footer="0.5"/>
  <pageSetup paperSize="9" orientation="portrait" horizontalDpi="300" verticalDpi="300"/>
  <headerFooter alignWithMargins="0"/>
  <drawing r:id="rId1"/>
</worksheet>
</file>

<file path=xl/worksheets/sheet16.xml><?xml version="1.0" encoding="utf-8"?>
<worksheet xmlns="http://schemas.openxmlformats.org/spreadsheetml/2006/main" xmlns:r="http://schemas.openxmlformats.org/officeDocument/2006/relationships">
  <sheetPr codeName="Hoja16"/>
  <dimension ref="A1"/>
  <sheetViews>
    <sheetView workbookViewId="0">
      <selection activeCell="A2" sqref="A2"/>
    </sheetView>
  </sheetViews>
  <sheetFormatPr baseColWidth="10" defaultRowHeight="12.7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Hojas de cálculo</vt:lpstr>
      </vt:variant>
      <vt:variant>
        <vt:i4>16</vt:i4>
      </vt:variant>
    </vt:vector>
  </HeadingPairs>
  <TitlesOfParts>
    <vt:vector size="16" baseType="lpstr">
      <vt:lpstr>1 _ Alejandro Garcia</vt:lpstr>
      <vt:lpstr>2 _ Diego Ricca</vt:lpstr>
      <vt:lpstr>3 _ Federico Andrade</vt:lpstr>
      <vt:lpstr>4 _ Federico Trinidad</vt:lpstr>
      <vt:lpstr>5 _ Ignacio Infante</vt:lpstr>
      <vt:lpstr>6 _ Javier Madeiro</vt:lpstr>
      <vt:lpstr>7 _ José Cordero</vt:lpstr>
      <vt:lpstr>8 _ Juan Ghiringhelli</vt:lpstr>
      <vt:lpstr>9 _ Leticia Vilariño</vt:lpstr>
      <vt:lpstr>10 _ Marcos Sander</vt:lpstr>
      <vt:lpstr>11 _ Martín Taruselli</vt:lpstr>
      <vt:lpstr>12 _ Vicente Acosta</vt:lpstr>
      <vt:lpstr>Consolidado</vt:lpstr>
      <vt:lpstr>Gráfica esfuerzo persona</vt:lpstr>
      <vt:lpstr>Gráfica esfuerzo por rol</vt:lpstr>
      <vt:lpstr>Gráfica esfuerzo por área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dc:creator>
  <cp:lastModifiedBy>Juan</cp:lastModifiedBy>
  <dcterms:created xsi:type="dcterms:W3CDTF">2010-08-29T14:54:31Z</dcterms:created>
  <dcterms:modified xsi:type="dcterms:W3CDTF">2010-09-05T19:55:28Z</dcterms:modified>
</cp:coreProperties>
</file>